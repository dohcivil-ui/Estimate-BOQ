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610" yWindow="-120" windowWidth="20730" windowHeight="11160" tabRatio="600" firstSheet="1" activeTab="6" autoFilterDateGrouping="1"/>
  </bookViews>
  <sheets>
    <sheet xmlns:r="http://schemas.openxmlformats.org/officeDocument/2006/relationships" name="factor F" sheetId="1" state="hidden" r:id="rId1"/>
    <sheet xmlns:r="http://schemas.openxmlformats.org/officeDocument/2006/relationships" name="1.ปร.4" sheetId="2" state="visible" r:id="rId2"/>
    <sheet xmlns:r="http://schemas.openxmlformats.org/officeDocument/2006/relationships" name="ปร4.อาคาร" sheetId="3" state="visible" r:id="rId3"/>
    <sheet xmlns:r="http://schemas.openxmlformats.org/officeDocument/2006/relationships" name="ปร4.ครุภัณฑ์" sheetId="4" state="visible" r:id="rId4"/>
    <sheet xmlns:r="http://schemas.openxmlformats.org/officeDocument/2006/relationships" name="ปร.5.อาคาร" sheetId="5" state="visible" r:id="rId5"/>
    <sheet xmlns:r="http://schemas.openxmlformats.org/officeDocument/2006/relationships" name="ปร 5.ครุภัณฑ์" sheetId="6" state="visible" r:id="rId6"/>
    <sheet xmlns:r="http://schemas.openxmlformats.org/officeDocument/2006/relationships" name="ปร.6" sheetId="7" state="visible" r:id="rId7"/>
  </sheets>
  <externalReferences>
    <externalReference xmlns:r="http://schemas.openxmlformats.org/officeDocument/2006/relationships" r:id="rId8"/>
  </externalReferences>
  <definedNames>
    <definedName name="_xlnm.Print_Area" localSheetId="0">'factor F'!$A$1:$S$27</definedName>
    <definedName name="_xlnm.Print_Area" localSheetId="1">'1.ปร.4'!$A$1:$G$38</definedName>
    <definedName name="_xlnm.Print_Titles" localSheetId="2">'ปร4.อาคาร'!$1:$6</definedName>
    <definedName name="_xlnm.Print_Area" localSheetId="2">'ปร4.อาคาร'!$A$1:$I$194</definedName>
    <definedName name="_xlnm.Print_Area" localSheetId="3">'ปร4.ครุภัณฑ์'!$A$1:$J$23</definedName>
    <definedName name="_xlnm.Print_Area" localSheetId="4">'ปร.5.อาคาร'!$A$1:$G$32</definedName>
    <definedName name="_xlnm.Print_Titles" localSheetId="5">'ปร 5.ครุภัณฑ์'!$1:$1</definedName>
    <definedName name="_xlnm.Print_Area" localSheetId="5">'ปร 5.ครุภัณฑ์'!$A$1:$J$36</definedName>
    <definedName name="_xlnm.Print_Area" localSheetId="6">'ปร.6'!$A$1:$G$42</definedName>
  </definedNames>
  <calcPr calcId="191029" calcMode="auto" fullCalcOnLoad="1"/>
</workbook>
</file>

<file path=xl/styles.xml><?xml version="1.0" encoding="utf-8"?>
<styleSheet xmlns="http://schemas.openxmlformats.org/spreadsheetml/2006/main">
  <numFmts count="11">
    <numFmt numFmtId="164" formatCode="_-* #,##0.00_-;\-* #,##0.00_-;_-* &quot;-&quot;??_-;_-@_-"/>
    <numFmt numFmtId="165" formatCode="_(* #,##0.0000_);_(* \(#,##0.0000\);_(* &quot;-&quot;??_);_(@_)"/>
    <numFmt numFmtId="166" formatCode="0.0000000000"/>
    <numFmt numFmtId="167" formatCode="_-* #,##0.000000000_-;\-* #,##0.000000000_-;_-* &quot;-&quot;??_-;_-@_-"/>
    <numFmt numFmtId="168" formatCode="_(* #,##0_);_(* \(#,##0\);_(* &quot;-&quot;??_);_(@_)"/>
    <numFmt numFmtId="169" formatCode="_-* #,##0.00_-;\-* #,##0.00_-;_-* &quot;-&quot;_-;_-@_-"/>
    <numFmt numFmtId="170" formatCode="_-* #,##0_-;\-* #,##0_-;_-* &quot;-&quot;??_-;_-@_-"/>
    <numFmt numFmtId="171" formatCode="_-* #,##0.0000_-;\-* #,##0.0000_-;_-* &quot;-&quot;??_-;_-@_-"/>
    <numFmt numFmtId="172" formatCode="_-* #,##0.000_-;\-* #,##0.000_-;_-* &quot;-&quot;??_-;_-@_-"/>
    <numFmt numFmtId="173" formatCode="_-* #,##0.0_-;\-* #,##0.0_-;_-* &quot;-&quot;??_-;_-@_-"/>
    <numFmt numFmtId="174" formatCode="0.0000"/>
  </numFmts>
  <fonts count="43">
    <font>
      <name val="Arial"/>
      <charset val="222"/>
      <sz val="10"/>
    </font>
    <font>
      <name val="Tahoma"/>
      <charset val="222"/>
      <family val="2"/>
      <color theme="1"/>
      <sz val="11"/>
      <scheme val="minor"/>
    </font>
    <font>
      <name val="Tahoma"/>
      <family val="2"/>
      <color indexed="8"/>
      <sz val="11"/>
    </font>
    <font>
      <name val="Arial"/>
      <family val="2"/>
      <sz val="10"/>
    </font>
    <font>
      <name val="Cordia New"/>
      <family val="2"/>
      <sz val="14"/>
    </font>
    <font>
      <name val="Arial"/>
      <family val="2"/>
      <sz val="10"/>
    </font>
    <font>
      <name val="TH SarabunPSK"/>
      <family val="2"/>
      <b val="1"/>
      <sz val="16"/>
    </font>
    <font>
      <name val="TH SarabunPSK"/>
      <family val="2"/>
      <sz val="16"/>
    </font>
    <font>
      <name val="Tahoma"/>
      <charset val="222"/>
      <family val="2"/>
      <color indexed="8"/>
      <sz val="11"/>
    </font>
    <font>
      <name val="TH SarabunPSK"/>
      <family val="2"/>
      <b val="1"/>
      <sz val="20"/>
    </font>
    <font>
      <name val="TH SarabunPSK"/>
      <family val="2"/>
      <b val="1"/>
      <color indexed="10"/>
      <sz val="16"/>
    </font>
    <font>
      <name val="Arial"/>
      <family val="2"/>
      <color theme="10"/>
      <sz val="10"/>
      <u val="single"/>
    </font>
    <font>
      <name val="TH Sarabun New"/>
      <family val="2"/>
      <b val="1"/>
      <sz val="16"/>
    </font>
    <font>
      <name val="TH Sarabun New"/>
      <family val="2"/>
      <b val="1"/>
      <color indexed="8"/>
      <sz val="16"/>
    </font>
    <font>
      <name val="TH Sarabun New"/>
      <family val="2"/>
      <color rgb="FF000000"/>
      <sz val="16"/>
    </font>
    <font>
      <name val="TH Sarabun New"/>
      <family val="2"/>
      <color indexed="8"/>
      <sz val="16"/>
    </font>
    <font>
      <name val="TH Sarabun New"/>
      <family val="2"/>
      <sz val="16"/>
    </font>
    <font>
      <name val="TH Sarabun New"/>
      <family val="2"/>
      <b val="1"/>
      <sz val="16"/>
      <u val="single"/>
    </font>
    <font>
      <name val="TH Sarabun New"/>
      <family val="2"/>
      <b val="1"/>
      <color rgb="FF000000"/>
      <sz val="16"/>
    </font>
    <font>
      <name val="TH Sarabun New"/>
      <family val="2"/>
      <color theme="10"/>
      <sz val="16"/>
      <u val="single"/>
    </font>
    <font>
      <name val="TH Sarabun New"/>
      <family val="2"/>
      <color theme="10"/>
      <sz val="10"/>
      <u val="single"/>
    </font>
    <font>
      <name val="TH Sarabun New"/>
      <family val="2"/>
      <color theme="1"/>
      <sz val="16"/>
    </font>
    <font>
      <name val="TH SarabunIT๙"/>
      <family val="2"/>
      <sz val="16"/>
    </font>
    <font>
      <name val="TH Sarabun New"/>
      <family val="2"/>
      <b val="1"/>
      <color theme="1"/>
      <sz val="16"/>
    </font>
    <font>
      <name val="TH Sarabun New"/>
      <family val="2"/>
      <sz val="16"/>
      <u val="single"/>
    </font>
    <font>
      <name val="TH Sarabun New"/>
      <family val="2"/>
      <sz val="14"/>
    </font>
    <font>
      <name val="TH Sarabun New"/>
      <charset val="222"/>
      <family val="2"/>
      <b val="1"/>
      <sz val="14"/>
    </font>
    <font>
      <name val="TH Sarabun New"/>
      <charset val="222"/>
      <family val="2"/>
      <sz val="14"/>
    </font>
    <font>
      <name val="TH Sarabun New"/>
      <charset val="222"/>
      <family val="2"/>
      <color theme="1"/>
      <sz val="14"/>
    </font>
    <font>
      <name val="TH SarabunIT๙"/>
      <charset val="222"/>
      <family val="2"/>
      <sz val="14"/>
    </font>
    <font>
      <name val="TH Sarabun New"/>
      <charset val="222"/>
      <family val="2"/>
      <b val="1"/>
      <color theme="1"/>
      <sz val="14"/>
    </font>
    <font>
      <name val="TH Sarabun New"/>
      <family val="2"/>
      <b val="1"/>
      <sz val="14"/>
    </font>
    <font>
      <name val="TH Sarabun New"/>
      <charset val="222"/>
      <family val="2"/>
      <b val="1"/>
      <sz val="16"/>
    </font>
    <font>
      <name val="TH Sarabun New"/>
      <charset val="222"/>
      <family val="2"/>
      <sz val="16"/>
    </font>
    <font>
      <name val="TH Sarabun New"/>
      <charset val="222"/>
      <family val="2"/>
      <color theme="1"/>
      <sz val="16"/>
    </font>
    <font>
      <name val="TH SarabunIT๙"/>
      <charset val="222"/>
      <family val="2"/>
      <sz val="16"/>
    </font>
    <font>
      <name val="TH Sarabun New"/>
      <charset val="222"/>
      <family val="2"/>
      <b val="1"/>
      <color theme="1"/>
      <sz val="16"/>
    </font>
    <font>
      <name val="TH Sarabun New"/>
      <charset val="222"/>
      <family val="2"/>
      <color rgb="FF000000"/>
      <sz val="16"/>
    </font>
    <font>
      <name val="TH Sarabun New"/>
      <charset val="222"/>
      <family val="2"/>
      <b val="1"/>
      <color indexed="8"/>
      <sz val="16"/>
    </font>
    <font>
      <name val="TH Sarabun New"/>
      <charset val="222"/>
      <family val="2"/>
      <b val="1"/>
      <sz val="16"/>
      <u val="single"/>
    </font>
    <font>
      <name val="TH SarabunPSK"/>
      <family val="2"/>
      <b val="1"/>
      <color indexed="8"/>
      <sz val="16"/>
    </font>
    <font>
      <name val="TH SarabunPSK"/>
      <family val="2"/>
      <color indexed="8"/>
      <sz val="16"/>
    </font>
    <font>
      <name val="TH SarabunPSK"/>
      <family val="2"/>
      <b val="1"/>
      <sz val="16"/>
      <u val="single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30">
    <xf numFmtId="0" fontId="0" fillId="0" borderId="0"/>
    <xf numFmtId="43" fontId="5" fillId="0" borderId="0"/>
    <xf numFmtId="0" fontId="2" fillId="0" borderId="0"/>
    <xf numFmtId="43" fontId="5" fillId="0" borderId="0"/>
    <xf numFmtId="0" fontId="4" fillId="0" borderId="0"/>
    <xf numFmtId="0" fontId="4" fillId="0" borderId="0"/>
    <xf numFmtId="43" fontId="5" fillId="0" borderId="0"/>
    <xf numFmtId="43" fontId="5" fillId="0" borderId="0"/>
    <xf numFmtId="174" fontId="2" fillId="0" borderId="0"/>
    <xf numFmtId="9" fontId="5" fillId="0" borderId="0"/>
    <xf numFmtId="43" fontId="5" fillId="0" borderId="0"/>
    <xf numFmtId="0" fontId="4" fillId="0" borderId="0"/>
    <xf numFmtId="0" fontId="8" fillId="0" borderId="0"/>
    <xf numFmtId="43" fontId="8" fillId="0" borderId="0"/>
    <xf numFmtId="43" fontId="5" fillId="0" borderId="0"/>
    <xf numFmtId="0" fontId="11" fillId="0" borderId="0"/>
    <xf numFmtId="0" fontId="1" fillId="0" borderId="0"/>
    <xf numFmtId="0" fontId="8" fillId="0" borderId="0"/>
    <xf numFmtId="0" fontId="4" fillId="0" borderId="0"/>
    <xf numFmtId="0" fontId="5" fillId="0" borderId="0"/>
    <xf numFmtId="43" fontId="5" fillId="0" borderId="0"/>
    <xf numFmtId="43" fontId="8" fillId="0" borderId="0"/>
    <xf numFmtId="43" fontId="1" fillId="0" borderId="0"/>
    <xf numFmtId="174" fontId="2" fillId="0" borderId="0"/>
    <xf numFmtId="43" fontId="8" fillId="0" borderId="0"/>
    <xf numFmtId="0" fontId="5" fillId="0" borderId="0"/>
    <xf numFmtId="43" fontId="5" fillId="0" borderId="0"/>
    <xf numFmtId="0" fontId="8" fillId="0" borderId="0"/>
    <xf numFmtId="174" fontId="2" fillId="0" borderId="0"/>
    <xf numFmtId="43" fontId="5" fillId="0" borderId="0"/>
  </cellStyleXfs>
  <cellXfs count="728">
    <xf numFmtId="0" fontId="0" fillId="0" borderId="0" pivotButton="0" quotePrefix="0" xfId="0"/>
    <xf numFmtId="0" fontId="9" fillId="0" borderId="0" pivotButton="0" quotePrefix="0" xfId="12"/>
    <xf numFmtId="0" fontId="7" fillId="0" borderId="0" pivotButton="0" quotePrefix="0" xfId="12"/>
    <xf numFmtId="0" fontId="6" fillId="0" borderId="0" pivotButton="0" quotePrefix="0" xfId="12"/>
    <xf numFmtId="0" fontId="7" fillId="0" borderId="0" applyAlignment="1" pivotButton="0" quotePrefix="0" xfId="12">
      <alignment horizontal="center"/>
    </xf>
    <xf numFmtId="0" fontId="6" fillId="0" borderId="19" pivotButton="0" quotePrefix="0" xfId="12"/>
    <xf numFmtId="0" fontId="6" fillId="0" borderId="19" applyAlignment="1" pivotButton="0" quotePrefix="0" xfId="12">
      <alignment horizontal="center"/>
    </xf>
    <xf numFmtId="0" fontId="6" fillId="0" borderId="19" applyAlignment="1" pivotButton="0" quotePrefix="0" xfId="12">
      <alignment horizontal="right"/>
    </xf>
    <xf numFmtId="0" fontId="7" fillId="0" borderId="19" pivotButton="0" quotePrefix="0" xfId="12"/>
    <xf numFmtId="0" fontId="6" fillId="0" borderId="0" applyAlignment="1" pivotButton="0" quotePrefix="0" xfId="12">
      <alignment horizontal="center"/>
    </xf>
    <xf numFmtId="0" fontId="6" fillId="0" borderId="0" applyAlignment="1" pivotButton="0" quotePrefix="0" xfId="12">
      <alignment horizontal="right"/>
    </xf>
    <xf numFmtId="0" fontId="6" fillId="0" borderId="0" applyAlignment="1" pivotButton="0" quotePrefix="0" xfId="12">
      <alignment horizontal="left" vertical="center"/>
    </xf>
    <xf numFmtId="0" fontId="6" fillId="0" borderId="0" applyAlignment="1" pivotButton="0" quotePrefix="0" xfId="12">
      <alignment horizontal="center" vertical="center"/>
    </xf>
    <xf numFmtId="9" fontId="7" fillId="0" borderId="0" applyAlignment="1" pivotButton="0" quotePrefix="0" xfId="12">
      <alignment horizontal="center"/>
    </xf>
    <xf numFmtId="164" fontId="7" fillId="0" borderId="0" pivotButton="0" quotePrefix="0" xfId="12"/>
    <xf numFmtId="0" fontId="6" fillId="0" borderId="0" applyAlignment="1" pivotButton="0" quotePrefix="0" xfId="12">
      <alignment vertical="center"/>
    </xf>
    <xf numFmtId="0" fontId="6" fillId="0" borderId="0" applyAlignment="1" pivotButton="0" quotePrefix="0" xfId="12">
      <alignment horizontal="left"/>
    </xf>
    <xf numFmtId="165" fontId="6" fillId="0" borderId="0" applyAlignment="1" pivotButton="0" quotePrefix="0" xfId="12">
      <alignment horizontal="left"/>
    </xf>
    <xf numFmtId="166" fontId="6" fillId="0" borderId="0" pivotButton="0" quotePrefix="0" xfId="12"/>
    <xf numFmtId="167" fontId="7" fillId="0" borderId="0" pivotButton="0" quotePrefix="0" xfId="12"/>
    <xf numFmtId="165" fontId="7" fillId="0" borderId="0" pivotButton="0" quotePrefix="0" xfId="12"/>
    <xf numFmtId="0" fontId="7" fillId="0" borderId="0" applyAlignment="1" pivotButton="0" quotePrefix="0" xfId="12">
      <alignment horizontal="centerContinuous"/>
    </xf>
    <xf numFmtId="0" fontId="7" fillId="0" borderId="0" applyAlignment="1" pivotButton="0" quotePrefix="0" xfId="12">
      <alignment vertical="center"/>
    </xf>
    <xf numFmtId="0" fontId="7" fillId="0" borderId="0" applyAlignment="1" pivotButton="0" quotePrefix="0" xfId="12">
      <alignment horizontal="left" vertical="center"/>
    </xf>
    <xf numFmtId="43" fontId="12" fillId="3" borderId="9" applyAlignment="1" pivotButton="0" quotePrefix="0" xfId="28">
      <alignment horizontal="right" vertical="center"/>
    </xf>
    <xf numFmtId="0" fontId="13" fillId="0" borderId="0" applyAlignment="1" pivotButton="0" quotePrefix="0" xfId="2">
      <alignment vertical="center"/>
    </xf>
    <xf numFmtId="0" fontId="13" fillId="0" borderId="0" applyAlignment="1" pivotButton="0" quotePrefix="0" xfId="2">
      <alignment horizontal="center" vertical="center"/>
    </xf>
    <xf numFmtId="0" fontId="13" fillId="0" borderId="0" applyAlignment="1" pivotButton="0" quotePrefix="0" xfId="2">
      <alignment horizontal="right" vertical="center"/>
    </xf>
    <xf numFmtId="0" fontId="15" fillId="0" borderId="0" applyAlignment="1" pivotButton="0" quotePrefix="0" xfId="2">
      <alignment vertical="center"/>
    </xf>
    <xf numFmtId="0" fontId="15" fillId="0" borderId="0" applyAlignment="1" pivotButton="0" quotePrefix="0" xfId="2">
      <alignment vertical="center"/>
    </xf>
    <xf numFmtId="0" fontId="15" fillId="0" borderId="0" applyAlignment="1" pivotButton="0" quotePrefix="0" xfId="2">
      <alignment horizontal="center" vertical="center"/>
    </xf>
    <xf numFmtId="164" fontId="15" fillId="0" borderId="0" applyAlignment="1" pivotButton="0" quotePrefix="0" xfId="3">
      <alignment vertical="center"/>
    </xf>
    <xf numFmtId="0" fontId="16" fillId="0" borderId="0" applyAlignment="1" pivotButton="0" quotePrefix="0" xfId="2">
      <alignment vertical="center"/>
    </xf>
    <xf numFmtId="0" fontId="16" fillId="0" borderId="0" applyAlignment="1" pivotButton="0" quotePrefix="0" xfId="2">
      <alignment vertical="center"/>
    </xf>
    <xf numFmtId="0" fontId="16" fillId="0" borderId="0" applyAlignment="1" pivotButton="0" quotePrefix="0" xfId="2">
      <alignment vertical="center"/>
    </xf>
    <xf numFmtId="0" fontId="12" fillId="0" borderId="14" applyAlignment="1" pivotButton="0" quotePrefix="0" xfId="27">
      <alignment horizontal="center" vertical="center"/>
    </xf>
    <xf numFmtId="0" fontId="17" fillId="0" borderId="24" applyAlignment="1" pivotButton="0" quotePrefix="0" xfId="27">
      <alignment vertical="center"/>
    </xf>
    <xf numFmtId="0" fontId="16" fillId="0" borderId="24" applyAlignment="1" pivotButton="0" quotePrefix="0" xfId="2">
      <alignment vertical="center"/>
    </xf>
    <xf numFmtId="0" fontId="16" fillId="0" borderId="14" applyAlignment="1" pivotButton="0" quotePrefix="0" xfId="2">
      <alignment horizontal="center" vertical="center"/>
    </xf>
    <xf numFmtId="0" fontId="16" fillId="0" borderId="24" applyAlignment="1" pivotButton="0" quotePrefix="0" xfId="2">
      <alignment horizontal="center" vertical="center"/>
    </xf>
    <xf numFmtId="43" fontId="16" fillId="0" borderId="14" applyAlignment="1" pivotButton="0" quotePrefix="0" xfId="28">
      <alignment vertical="center"/>
    </xf>
    <xf numFmtId="43" fontId="16" fillId="0" borderId="24" applyAlignment="1" pivotButton="0" quotePrefix="0" xfId="2">
      <alignment horizontal="right" vertical="center"/>
    </xf>
    <xf numFmtId="43" fontId="16" fillId="0" borderId="14" applyAlignment="1" pivotButton="0" quotePrefix="0" xfId="2">
      <alignment horizontal="center" vertical="center"/>
    </xf>
    <xf numFmtId="43" fontId="16" fillId="0" borderId="24" applyAlignment="1" pivotButton="0" quotePrefix="0" xfId="2">
      <alignment horizontal="center" vertical="center"/>
    </xf>
    <xf numFmtId="43" fontId="16" fillId="0" borderId="14" applyAlignment="1" pivotButton="0" quotePrefix="0" xfId="2">
      <alignment horizontal="right" vertical="center"/>
    </xf>
    <xf numFmtId="0" fontId="12" fillId="0" borderId="25" applyAlignment="1" pivotButton="0" quotePrefix="0" xfId="27">
      <alignment horizontal="center" vertical="center"/>
    </xf>
    <xf numFmtId="0" fontId="12" fillId="0" borderId="18" applyAlignment="1" pivotButton="0" quotePrefix="0" xfId="2">
      <alignment horizontal="left" vertical="center"/>
    </xf>
    <xf numFmtId="0" fontId="16" fillId="0" borderId="28" applyAlignment="1" pivotButton="0" quotePrefix="0" xfId="2">
      <alignment vertical="center"/>
    </xf>
    <xf numFmtId="0" fontId="16" fillId="6" borderId="18" applyAlignment="1" pivotButton="0" quotePrefix="0" xfId="2">
      <alignment horizontal="center" vertical="center"/>
    </xf>
    <xf numFmtId="164" fontId="16" fillId="6" borderId="18" applyAlignment="1" pivotButton="0" quotePrefix="0" xfId="1">
      <alignment horizontal="center" vertical="center"/>
    </xf>
    <xf numFmtId="43" fontId="16" fillId="0" borderId="0" applyAlignment="1" pivotButton="0" quotePrefix="0" xfId="27">
      <alignment vertical="top"/>
    </xf>
    <xf numFmtId="0" fontId="16" fillId="0" borderId="25" applyAlignment="1" pivotButton="0" quotePrefix="0" xfId="27">
      <alignment horizontal="center" vertical="center"/>
    </xf>
    <xf numFmtId="0" fontId="16" fillId="0" borderId="18" applyAlignment="1" pivotButton="0" quotePrefix="0" xfId="2">
      <alignment horizontal="left" vertical="center"/>
    </xf>
    <xf numFmtId="0" fontId="16" fillId="0" borderId="18" applyAlignment="1" pivotButton="0" quotePrefix="0" xfId="2">
      <alignment horizontal="center" vertical="center"/>
    </xf>
    <xf numFmtId="164" fontId="16" fillId="0" borderId="18" applyAlignment="1" pivotButton="0" quotePrefix="0" xfId="1">
      <alignment horizontal="center" vertical="center"/>
    </xf>
    <xf numFmtId="0" fontId="13" fillId="0" borderId="0" applyAlignment="1" pivotButton="0" quotePrefix="0" xfId="2">
      <alignment vertical="center"/>
    </xf>
    <xf numFmtId="0" fontId="16" fillId="0" borderId="25" applyAlignment="1" pivotButton="0" quotePrefix="0" xfId="2">
      <alignment horizontal="center" vertical="center"/>
    </xf>
    <xf numFmtId="164" fontId="16" fillId="0" borderId="25" applyAlignment="1" pivotButton="0" quotePrefix="0" xfId="1">
      <alignment horizontal="center" vertical="center"/>
    </xf>
    <xf numFmtId="0" fontId="12" fillId="0" borderId="18" applyAlignment="1" pivotButton="0" quotePrefix="0" xfId="27">
      <alignment horizontal="center" vertical="center"/>
    </xf>
    <xf numFmtId="0" fontId="18" fillId="0" borderId="28" pivotButton="0" quotePrefix="0" xfId="27"/>
    <xf numFmtId="0" fontId="12" fillId="0" borderId="28" applyAlignment="1" pivotButton="0" quotePrefix="0" xfId="2">
      <alignment vertical="center"/>
    </xf>
    <xf numFmtId="0" fontId="14" fillId="0" borderId="28" pivotButton="0" quotePrefix="0" xfId="27"/>
    <xf numFmtId="1" fontId="16" fillId="0" borderId="18" applyAlignment="1" pivotButton="0" quotePrefix="0" xfId="29">
      <alignment horizontal="center" vertical="center"/>
    </xf>
    <xf numFmtId="164" fontId="16" fillId="0" borderId="18" applyAlignment="1" pivotButton="0" quotePrefix="0" xfId="29">
      <alignment horizontal="center" vertical="center"/>
    </xf>
    <xf numFmtId="2" fontId="16" fillId="0" borderId="18" applyAlignment="1" pivotButton="0" quotePrefix="0" xfId="29">
      <alignment horizontal="right" vertical="center"/>
    </xf>
    <xf numFmtId="164" fontId="16" fillId="0" borderId="28" applyAlignment="1" pivotButton="0" quotePrefix="0" xfId="29">
      <alignment horizontal="center" vertical="center"/>
    </xf>
    <xf numFmtId="164" fontId="16" fillId="0" borderId="26" applyAlignment="1" pivotButton="0" quotePrefix="0" xfId="26">
      <alignment vertical="top"/>
    </xf>
    <xf numFmtId="43" fontId="12" fillId="0" borderId="18" applyAlignment="1" pivotButton="0" quotePrefix="0" xfId="2">
      <alignment horizontal="center" vertical="center"/>
    </xf>
    <xf numFmtId="164" fontId="16" fillId="0" borderId="25" applyAlignment="1" pivotButton="0" quotePrefix="0" xfId="26">
      <alignment vertical="top"/>
    </xf>
    <xf numFmtId="0" fontId="12" fillId="0" borderId="27" applyAlignment="1" pivotButton="0" quotePrefix="0" xfId="27">
      <alignment horizontal="center" vertical="center"/>
    </xf>
    <xf numFmtId="0" fontId="13" fillId="0" borderId="29" pivotButton="0" quotePrefix="0" xfId="27"/>
    <xf numFmtId="0" fontId="12" fillId="0" borderId="29" applyAlignment="1" pivotButton="0" quotePrefix="0" xfId="2">
      <alignment vertical="center"/>
    </xf>
    <xf numFmtId="2" fontId="12" fillId="0" borderId="27" applyAlignment="1" pivotButton="0" quotePrefix="0" xfId="29">
      <alignment horizontal="right" vertical="center"/>
    </xf>
    <xf numFmtId="164" fontId="12" fillId="0" borderId="29" applyAlignment="1" pivotButton="0" quotePrefix="0" xfId="29">
      <alignment horizontal="center" vertical="center"/>
    </xf>
    <xf numFmtId="164" fontId="12" fillId="0" borderId="27" applyAlignment="1" pivotButton="0" quotePrefix="0" xfId="29">
      <alignment horizontal="center" vertical="center"/>
    </xf>
    <xf numFmtId="43" fontId="12" fillId="0" borderId="27" applyAlignment="1" pivotButton="0" quotePrefix="0" xfId="2">
      <alignment horizontal="center" vertical="center"/>
    </xf>
    <xf numFmtId="0" fontId="16" fillId="0" borderId="0" applyAlignment="1" pivotButton="0" quotePrefix="0" xfId="2">
      <alignment horizontal="right" vertical="center"/>
    </xf>
    <xf numFmtId="0" fontId="16" fillId="0" borderId="0" applyAlignment="1" pivotButton="0" quotePrefix="0" xfId="2">
      <alignment horizontal="center" vertical="center"/>
    </xf>
    <xf numFmtId="43" fontId="16" fillId="0" borderId="0" applyAlignment="1" pivotButton="0" quotePrefix="0" xfId="28">
      <alignment vertical="center"/>
    </xf>
    <xf numFmtId="43" fontId="15" fillId="0" borderId="0" applyAlignment="1" pivotButton="0" quotePrefix="0" xfId="2">
      <alignment vertical="center"/>
    </xf>
    <xf numFmtId="49" fontId="16" fillId="0" borderId="0" applyAlignment="1" pivotButton="0" quotePrefix="0" xfId="2">
      <alignment horizontal="left" vertical="center"/>
    </xf>
    <xf numFmtId="164" fontId="16" fillId="0" borderId="0" applyAlignment="1" pivotButton="0" quotePrefix="0" xfId="6">
      <alignment horizontal="center" vertical="center"/>
    </xf>
    <xf numFmtId="164" fontId="16" fillId="0" borderId="0" applyAlignment="1" pivotButton="0" quotePrefix="0" xfId="6">
      <alignment vertical="center"/>
    </xf>
    <xf numFmtId="164" fontId="16" fillId="0" borderId="0" applyAlignment="1" pivotButton="0" quotePrefix="0" xfId="2">
      <alignment vertical="center"/>
    </xf>
    <xf numFmtId="168" fontId="16" fillId="0" borderId="0" applyAlignment="1" pivotButton="0" quotePrefix="0" xfId="7">
      <alignment vertical="center"/>
    </xf>
    <xf numFmtId="168" fontId="16" fillId="0" borderId="0" applyAlignment="1" pivotButton="0" quotePrefix="0" xfId="7">
      <alignment horizontal="right" vertical="center"/>
    </xf>
    <xf numFmtId="164" fontId="16" fillId="0" borderId="0" applyAlignment="1" pivotButton="0" quotePrefix="0" xfId="6">
      <alignment horizontal="right" vertical="center"/>
    </xf>
    <xf numFmtId="0" fontId="16" fillId="0" borderId="0" applyAlignment="1" pivotButton="0" quotePrefix="0" xfId="27">
      <alignment horizontal="center" vertical="center"/>
    </xf>
    <xf numFmtId="49" fontId="16" fillId="0" borderId="0" applyAlignment="1" pivotButton="0" quotePrefix="0" xfId="25">
      <alignment horizontal="right" vertical="center"/>
    </xf>
    <xf numFmtId="49" fontId="15" fillId="0" borderId="0" applyAlignment="1" pivotButton="0" quotePrefix="0" xfId="2">
      <alignment horizontal="right"/>
    </xf>
    <xf numFmtId="0" fontId="15" fillId="0" borderId="0" applyAlignment="1" pivotButton="0" quotePrefix="0" xfId="2">
      <alignment horizontal="right" vertical="center"/>
    </xf>
    <xf numFmtId="0" fontId="16" fillId="2" borderId="0" applyAlignment="1" pivotButton="0" quotePrefix="0" xfId="4">
      <alignment vertical="center"/>
    </xf>
    <xf numFmtId="0" fontId="16" fillId="2" borderId="0" applyAlignment="1" pivotButton="0" quotePrefix="0" xfId="4">
      <alignment horizontal="center" vertical="center"/>
    </xf>
    <xf numFmtId="164" fontId="12" fillId="2" borderId="9" applyAlignment="1" pivotButton="0" quotePrefix="0" xfId="1">
      <alignment horizontal="center" vertical="center"/>
    </xf>
    <xf numFmtId="0" fontId="16" fillId="2" borderId="7" applyAlignment="1" pivotButton="0" quotePrefix="0" xfId="4">
      <alignment vertical="center"/>
    </xf>
    <xf numFmtId="0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6">
      <alignment vertical="center"/>
    </xf>
    <xf numFmtId="169" fontId="16" fillId="0" borderId="1" applyAlignment="1" pivotButton="0" quotePrefix="0" xfId="0">
      <alignment horizontal="center" vertical="center"/>
    </xf>
    <xf numFmtId="164" fontId="16" fillId="0" borderId="1" applyAlignment="1" pivotButton="0" quotePrefix="0" xfId="6">
      <alignment horizontal="center" vertical="center"/>
    </xf>
    <xf numFmtId="169" fontId="16" fillId="0" borderId="1" applyAlignment="1" pivotButton="0" quotePrefix="0" xfId="0">
      <alignment vertical="center"/>
    </xf>
    <xf numFmtId="0" fontId="12" fillId="0" borderId="7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164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5" applyAlignment="1" pivotButton="0" quotePrefix="0" xfId="0">
      <alignment vertical="center"/>
    </xf>
    <xf numFmtId="0" fontId="12" fillId="0" borderId="25" applyAlignment="1" pivotButton="0" quotePrefix="0" xfId="0">
      <alignment horizontal="center" vertical="center"/>
    </xf>
    <xf numFmtId="164" fontId="12" fillId="0" borderId="25" applyAlignment="1" pivotButton="0" quotePrefix="0" xfId="6">
      <alignment vertical="center"/>
    </xf>
    <xf numFmtId="169" fontId="16" fillId="0" borderId="25" applyAlignment="1" pivotButton="0" quotePrefix="0" xfId="0">
      <alignment horizontal="center" vertical="center"/>
    </xf>
    <xf numFmtId="164" fontId="16" fillId="0" borderId="25" applyAlignment="1" pivotButton="0" quotePrefix="0" xfId="6">
      <alignment horizontal="center" vertical="center"/>
    </xf>
    <xf numFmtId="169" fontId="16" fillId="0" borderId="25" applyAlignment="1" pivotButton="0" quotePrefix="0" xfId="0">
      <alignment vertical="center"/>
    </xf>
    <xf numFmtId="0" fontId="16" fillId="0" borderId="25" applyAlignment="1" pivotButton="0" quotePrefix="0" xfId="0">
      <alignment horizontal="center" vertical="center"/>
    </xf>
    <xf numFmtId="164" fontId="16" fillId="0" borderId="25" applyAlignment="1" pivotButton="0" quotePrefix="0" xfId="6">
      <alignment vertical="center"/>
    </xf>
    <xf numFmtId="0" fontId="16" fillId="0" borderId="25" applyAlignment="1" pivotButton="0" quotePrefix="0" xfId="0">
      <alignment vertical="center"/>
    </xf>
    <xf numFmtId="0" fontId="16" fillId="0" borderId="4" applyAlignment="1" pivotButton="0" quotePrefix="0" xfId="0">
      <alignment vertical="center"/>
    </xf>
    <xf numFmtId="164" fontId="16" fillId="0" borderId="4" applyAlignment="1" pivotButton="0" quotePrefix="0" xfId="6">
      <alignment vertical="center"/>
    </xf>
    <xf numFmtId="169" fontId="16" fillId="0" borderId="4" applyAlignment="1" pivotButton="0" quotePrefix="0" xfId="0">
      <alignment horizontal="center" vertical="center"/>
    </xf>
    <xf numFmtId="164" fontId="16" fillId="0" borderId="4" applyAlignment="1" pivotButton="0" quotePrefix="0" xfId="6">
      <alignment horizontal="center" vertical="center"/>
    </xf>
    <xf numFmtId="169" fontId="16" fillId="0" borderId="4" applyAlignment="1" pivotButton="0" quotePrefix="0" xfId="0">
      <alignment vertical="center"/>
    </xf>
    <xf numFmtId="169" fontId="16" fillId="6" borderId="25" applyAlignment="1" pivotButton="0" quotePrefix="0" xfId="0">
      <alignment vertical="center"/>
    </xf>
    <xf numFmtId="0" fontId="19" fillId="0" borderId="0" pivotButton="0" quotePrefix="0" xfId="15"/>
    <xf numFmtId="0" fontId="16" fillId="0" borderId="25" applyAlignment="1" pivotButton="0" quotePrefix="0" xfId="19">
      <alignment horizontal="center"/>
    </xf>
    <xf numFmtId="0" fontId="16" fillId="0" borderId="5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43" fontId="19" fillId="0" borderId="0" pivotButton="0" quotePrefix="0" xfId="15"/>
    <xf numFmtId="0" fontId="12" fillId="0" borderId="0" applyAlignment="1" pivotButton="0" quotePrefix="0" xfId="0">
      <alignment vertical="center"/>
    </xf>
    <xf numFmtId="169" fontId="12" fillId="0" borderId="1" applyAlignment="1" pivotButton="0" quotePrefix="0" xfId="0">
      <alignment vertical="center"/>
    </xf>
    <xf numFmtId="164" fontId="16" fillId="0" borderId="25" applyAlignment="1" pivotButton="0" quotePrefix="0" xfId="6">
      <alignment vertical="center" wrapText="1"/>
    </xf>
    <xf numFmtId="43" fontId="16" fillId="0" borderId="0" applyAlignment="1" pivotButton="0" quotePrefix="0" xfId="0">
      <alignment horizontal="center" vertical="center"/>
    </xf>
    <xf numFmtId="169" fontId="12" fillId="0" borderId="7" applyAlignment="1" pivotButton="0" quotePrefix="0" xfId="0">
      <alignment vertical="center"/>
    </xf>
    <xf numFmtId="0" fontId="16" fillId="0" borderId="7" applyAlignment="1" pivotButton="0" quotePrefix="0" xfId="0">
      <alignment vertical="center"/>
    </xf>
    <xf numFmtId="0" fontId="20" fillId="0" borderId="7" applyAlignment="1" pivotButton="0" quotePrefix="0" xfId="15">
      <alignment vertical="center"/>
    </xf>
    <xf numFmtId="0" fontId="16" fillId="0" borderId="18" applyAlignment="1" pivotButton="0" quotePrefix="0" xfId="0">
      <alignment vertical="center"/>
    </xf>
    <xf numFmtId="164" fontId="16" fillId="0" borderId="18" applyAlignment="1" pivotButton="0" quotePrefix="0" xfId="6">
      <alignment vertical="center"/>
    </xf>
    <xf numFmtId="169" fontId="16" fillId="0" borderId="18" applyAlignment="1" pivotButton="0" quotePrefix="0" xfId="0">
      <alignment horizontal="center" vertical="center"/>
    </xf>
    <xf numFmtId="169" fontId="16" fillId="0" borderId="18" applyAlignment="1" pivotButton="0" quotePrefix="0" xfId="0">
      <alignment vertical="center"/>
    </xf>
    <xf numFmtId="164" fontId="16" fillId="0" borderId="18" applyAlignment="1" pivotButton="0" quotePrefix="0" xfId="6">
      <alignment horizontal="center" vertical="center"/>
    </xf>
    <xf numFmtId="0" fontId="12" fillId="0" borderId="18" applyAlignment="1" pivotButton="0" quotePrefix="0" xfId="0">
      <alignment horizontal="center" vertical="center"/>
    </xf>
    <xf numFmtId="164" fontId="12" fillId="0" borderId="18" applyAlignment="1" pivotButton="0" quotePrefix="0" xfId="6">
      <alignment vertical="center"/>
    </xf>
    <xf numFmtId="0" fontId="12" fillId="0" borderId="17" applyAlignment="1" pivotButton="0" quotePrefix="0" xfId="0">
      <alignment horizontal="center" vertical="center"/>
    </xf>
    <xf numFmtId="164" fontId="12" fillId="0" borderId="17" applyAlignment="1" pivotButton="0" quotePrefix="0" xfId="6">
      <alignment vertical="center"/>
    </xf>
    <xf numFmtId="169" fontId="16" fillId="0" borderId="17" applyAlignment="1" pivotButton="0" quotePrefix="0" xfId="0">
      <alignment horizontal="center" vertical="center"/>
    </xf>
    <xf numFmtId="164" fontId="16" fillId="0" borderId="17" applyAlignment="1" pivotButton="0" quotePrefix="0" xfId="6">
      <alignment horizontal="center" vertical="center"/>
    </xf>
    <xf numFmtId="169" fontId="16" fillId="0" borderId="17" applyAlignment="1" pivotButton="0" quotePrefix="0" xfId="0">
      <alignment vertical="center"/>
    </xf>
    <xf numFmtId="164" fontId="16" fillId="6" borderId="25" applyAlignment="1" pivotButton="0" quotePrefix="0" xfId="6">
      <alignment vertical="center"/>
    </xf>
    <xf numFmtId="169" fontId="16" fillId="6" borderId="25" applyAlignment="1" pivotButton="0" quotePrefix="0" xfId="0">
      <alignment horizontal="center" vertical="center"/>
    </xf>
    <xf numFmtId="169" fontId="12" fillId="0" borderId="25" applyAlignment="1" pivotButton="0" quotePrefix="0" xfId="0">
      <alignment vertical="center"/>
    </xf>
    <xf numFmtId="164" fontId="12" fillId="6" borderId="25" applyAlignment="1" pivotButton="0" quotePrefix="0" xfId="6">
      <alignment vertical="center"/>
    </xf>
    <xf numFmtId="0" fontId="12" fillId="6" borderId="25" applyAlignment="1" pivotButton="0" quotePrefix="1" xfId="17">
      <alignment horizontal="left"/>
    </xf>
    <xf numFmtId="170" fontId="12" fillId="6" borderId="25" pivotButton="0" quotePrefix="0" xfId="21"/>
    <xf numFmtId="164" fontId="12" fillId="6" borderId="25" applyAlignment="1" pivotButton="0" quotePrefix="0" xfId="21">
      <alignment horizontal="center"/>
    </xf>
    <xf numFmtId="164" fontId="16" fillId="5" borderId="0" applyAlignment="1" pivotButton="0" quotePrefix="0" xfId="21">
      <alignment horizontal="right" vertical="center"/>
    </xf>
    <xf numFmtId="0" fontId="19" fillId="0" borderId="0" pivotButton="0" quotePrefix="0" xfId="15"/>
    <xf numFmtId="164" fontId="16" fillId="0" borderId="0" applyAlignment="1" pivotButton="0" quotePrefix="0" xfId="0">
      <alignment vertical="center"/>
    </xf>
    <xf numFmtId="0" fontId="16" fillId="0" borderId="25" applyAlignment="1" pivotButton="0" quotePrefix="1" xfId="17">
      <alignment horizontal="left"/>
    </xf>
    <xf numFmtId="170" fontId="16" fillId="0" borderId="25" pivotButton="0" quotePrefix="0" xfId="21"/>
    <xf numFmtId="164" fontId="16" fillId="0" borderId="25" applyAlignment="1" pivotButton="0" quotePrefix="0" xfId="21">
      <alignment horizontal="center"/>
    </xf>
    <xf numFmtId="164" fontId="16" fillId="0" borderId="0" applyAlignment="1" pivotButton="0" quotePrefix="0" xfId="21">
      <alignment horizontal="right" vertical="center"/>
    </xf>
    <xf numFmtId="0" fontId="12" fillId="6" borderId="17" applyAlignment="1" pivotButton="0" quotePrefix="0" xfId="19">
      <alignment horizontal="left"/>
    </xf>
    <xf numFmtId="170" fontId="12" fillId="6" borderId="17" pivotButton="0" quotePrefix="0" xfId="20"/>
    <xf numFmtId="0" fontId="12" fillId="6" borderId="17" applyAlignment="1" pivotButton="0" quotePrefix="0" xfId="19">
      <alignment horizontal="center"/>
    </xf>
    <xf numFmtId="164" fontId="12" fillId="6" borderId="17" pivotButton="0" quotePrefix="0" xfId="20"/>
    <xf numFmtId="164" fontId="16" fillId="5" borderId="0" applyAlignment="1" pivotButton="0" quotePrefix="1" xfId="20">
      <alignment horizontal="center"/>
    </xf>
    <xf numFmtId="0" fontId="16" fillId="0" borderId="25" applyAlignment="1" pivotButton="0" quotePrefix="0" xfId="19">
      <alignment horizontal="left"/>
    </xf>
    <xf numFmtId="170" fontId="16" fillId="0" borderId="25" pivotButton="0" quotePrefix="0" xfId="20"/>
    <xf numFmtId="164" fontId="16" fillId="0" borderId="25" pivotButton="0" quotePrefix="0" xfId="20"/>
    <xf numFmtId="164" fontId="16" fillId="0" borderId="0" applyAlignment="1" pivotButton="0" quotePrefix="1" xfId="20">
      <alignment horizontal="center"/>
    </xf>
    <xf numFmtId="0" fontId="12" fillId="0" borderId="25" applyAlignment="1" pivotButton="0" quotePrefix="0" xfId="19">
      <alignment horizontal="left"/>
    </xf>
    <xf numFmtId="0" fontId="16" fillId="0" borderId="18" applyAlignment="1" pivotButton="0" quotePrefix="0" xfId="19">
      <alignment horizontal="left"/>
    </xf>
    <xf numFmtId="170" fontId="16" fillId="0" borderId="18" pivotButton="0" quotePrefix="0" xfId="20"/>
    <xf numFmtId="164" fontId="16" fillId="0" borderId="18" pivotButton="0" quotePrefix="0" xfId="20"/>
    <xf numFmtId="0" fontId="12" fillId="0" borderId="18" applyAlignment="1" pivotButton="0" quotePrefix="0" xfId="19">
      <alignment horizontal="left"/>
    </xf>
    <xf numFmtId="170" fontId="12" fillId="0" borderId="18" pivotButton="0" quotePrefix="0" xfId="20"/>
    <xf numFmtId="0" fontId="12" fillId="0" borderId="18" applyAlignment="1" pivotButton="0" quotePrefix="0" xfId="19">
      <alignment horizontal="center"/>
    </xf>
    <xf numFmtId="164" fontId="12" fillId="0" borderId="18" pivotButton="0" quotePrefix="0" xfId="20"/>
    <xf numFmtId="169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6">
      <alignment horizontal="center" vertical="center"/>
    </xf>
    <xf numFmtId="169" fontId="12" fillId="0" borderId="25" applyAlignment="1" pivotButton="0" quotePrefix="0" xfId="0">
      <alignment horizontal="center" vertical="center"/>
    </xf>
    <xf numFmtId="164" fontId="12" fillId="0" borderId="25" applyAlignment="1" pivotButton="0" quotePrefix="0" xfId="6">
      <alignment horizontal="center" vertical="center"/>
    </xf>
    <xf numFmtId="0" fontId="12" fillId="0" borderId="25" applyAlignment="1" pivotButton="0" quotePrefix="0" xfId="0">
      <alignment vertical="center"/>
    </xf>
    <xf numFmtId="164" fontId="16" fillId="6" borderId="25" applyAlignment="1" pivotButton="0" quotePrefix="0" xfId="6">
      <alignment horizontal="center" vertical="center"/>
    </xf>
    <xf numFmtId="0" fontId="16" fillId="0" borderId="0" applyAlignment="1" pivotButton="0" quotePrefix="0" xfId="2">
      <alignment horizontal="right" vertical="center"/>
    </xf>
    <xf numFmtId="164" fontId="16" fillId="0" borderId="0" applyAlignment="1" pivotButton="0" quotePrefix="0" xfId="1">
      <alignment horizontal="center" vertical="center"/>
    </xf>
    <xf numFmtId="0" fontId="16" fillId="0" borderId="0" applyAlignment="1" pivotButton="0" quotePrefix="0" xfId="2">
      <alignment horizontal="center" vertical="center"/>
    </xf>
    <xf numFmtId="164" fontId="16" fillId="0" borderId="0" applyAlignment="1" pivotButton="0" quotePrefix="0" xfId="1">
      <alignment horizontal="right" vertical="center"/>
    </xf>
    <xf numFmtId="0" fontId="16" fillId="0" borderId="0" applyAlignment="1" pivotButton="0" quotePrefix="0" xfId="2">
      <alignment horizontal="left" vertical="center"/>
    </xf>
    <xf numFmtId="164" fontId="16" fillId="0" borderId="0" applyAlignment="1" pivotButton="0" quotePrefix="0" xfId="1">
      <alignment vertical="center"/>
    </xf>
    <xf numFmtId="164" fontId="16" fillId="0" borderId="0" applyAlignment="1" pivotButton="0" quotePrefix="0" xfId="1">
      <alignment horizontal="center" vertical="center"/>
    </xf>
    <xf numFmtId="0" fontId="12" fillId="2" borderId="7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164" fontId="16" fillId="2" borderId="0" applyAlignment="1" pivotButton="0" quotePrefix="0" xfId="0">
      <alignment vertical="center"/>
    </xf>
    <xf numFmtId="164" fontId="16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vertical="center"/>
    </xf>
    <xf numFmtId="0" fontId="12" fillId="2" borderId="5" applyAlignment="1" pivotButton="0" quotePrefix="0" xfId="0">
      <alignment vertical="center"/>
    </xf>
    <xf numFmtId="164" fontId="16" fillId="0" borderId="0" applyAlignment="1" pivotButton="0" quotePrefix="0" xfId="1">
      <alignment horizontal="left" vertical="center"/>
    </xf>
    <xf numFmtId="164" fontId="16" fillId="0" borderId="0" applyAlignment="1" pivotButton="0" quotePrefix="0" xfId="1">
      <alignment horizontal="center" vertical="center"/>
    </xf>
    <xf numFmtId="43" fontId="16" fillId="0" borderId="0" applyAlignment="1" pivotButton="0" quotePrefix="0" xfId="8">
      <alignment horizontal="center" vertical="center"/>
    </xf>
    <xf numFmtId="164" fontId="16" fillId="0" borderId="0" applyAlignment="1" pivotButton="0" quotePrefix="0" xfId="1">
      <alignment vertical="center"/>
    </xf>
    <xf numFmtId="43" fontId="16" fillId="0" borderId="0" applyAlignment="1" pivotButton="0" quotePrefix="0" xfId="8">
      <alignment horizontal="right" vertical="center"/>
    </xf>
    <xf numFmtId="49" fontId="16" fillId="0" borderId="0" applyAlignment="1" pivotButton="0" quotePrefix="0" xfId="0">
      <alignment horizontal="right" vertical="center"/>
    </xf>
    <xf numFmtId="164" fontId="16" fillId="0" borderId="0" applyAlignment="1" pivotButton="0" quotePrefix="0" xfId="1">
      <alignment horizontal="center" vertical="center"/>
    </xf>
    <xf numFmtId="164" fontId="16" fillId="5" borderId="0" applyAlignment="1" pivotButton="0" quotePrefix="0" xfId="1">
      <alignment vertical="center"/>
    </xf>
    <xf numFmtId="0" fontId="16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vertical="center"/>
    </xf>
    <xf numFmtId="0" fontId="16" fillId="0" borderId="0" pivotButton="0" quotePrefix="0" xfId="0"/>
    <xf numFmtId="0" fontId="12" fillId="0" borderId="0" applyAlignment="1" pivotButton="0" quotePrefix="0" xfId="0">
      <alignment horizontal="right"/>
    </xf>
    <xf numFmtId="0" fontId="12" fillId="0" borderId="1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12" fillId="0" borderId="4" pivotButton="0" quotePrefix="0" xfId="0"/>
    <xf numFmtId="0" fontId="12" fillId="0" borderId="4" applyAlignment="1" pivotButton="0" quotePrefix="0" xfId="0">
      <alignment horizontal="center"/>
    </xf>
    <xf numFmtId="0" fontId="16" fillId="0" borderId="5" pivotButton="0" quotePrefix="0" xfId="0"/>
    <xf numFmtId="0" fontId="16" fillId="0" borderId="10" pivotButton="0" quotePrefix="0" xfId="0"/>
    <xf numFmtId="0" fontId="16" fillId="0" borderId="11" pivotButton="0" quotePrefix="0" xfId="0"/>
    <xf numFmtId="0" fontId="16" fillId="0" borderId="25" applyAlignment="1" pivotButton="0" quotePrefix="0" xfId="0">
      <alignment horizontal="center"/>
    </xf>
    <xf numFmtId="0" fontId="16" fillId="0" borderId="15" pivotButton="0" quotePrefix="0" xfId="0"/>
    <xf numFmtId="0" fontId="16" fillId="0" borderId="16" pivotButton="0" quotePrefix="0" xfId="0"/>
    <xf numFmtId="164" fontId="16" fillId="0" borderId="25" applyAlignment="1" pivotButton="0" quotePrefix="0" xfId="10">
      <alignment horizontal="center"/>
    </xf>
    <xf numFmtId="171" fontId="16" fillId="0" borderId="25" pivotButton="0" quotePrefix="0" xfId="10"/>
    <xf numFmtId="164" fontId="16" fillId="0" borderId="25" pivotButton="0" quotePrefix="0" xfId="10"/>
    <xf numFmtId="0" fontId="16" fillId="0" borderId="25" pivotButton="0" quotePrefix="0" xfId="0"/>
    <xf numFmtId="164" fontId="16" fillId="0" borderId="0" pivotButton="0" quotePrefix="0" xfId="0"/>
    <xf numFmtId="0" fontId="16" fillId="0" borderId="5" applyAlignment="1" pivotButton="0" quotePrefix="0" xfId="0">
      <alignment horizontal="center"/>
    </xf>
    <xf numFmtId="0" fontId="16" fillId="0" borderId="12" pivotButton="0" quotePrefix="0" xfId="0"/>
    <xf numFmtId="164" fontId="16" fillId="0" borderId="4" pivotButton="0" quotePrefix="0" xfId="10"/>
    <xf numFmtId="0" fontId="16" fillId="0" borderId="7" pivotButton="0" quotePrefix="0" xfId="0"/>
    <xf numFmtId="0" fontId="21" fillId="0" borderId="0" pivotButton="0" quotePrefix="0" xfId="0"/>
    <xf numFmtId="0" fontId="21" fillId="0" borderId="0" applyAlignment="1" pivotButton="0" quotePrefix="0" xfId="0">
      <alignment horizontal="center"/>
    </xf>
    <xf numFmtId="0" fontId="16" fillId="0" borderId="0" pivotButton="0" quotePrefix="0" xfId="11"/>
    <xf numFmtId="0" fontId="16" fillId="0" borderId="0" pivotButton="0" quotePrefix="0" xfId="2"/>
    <xf numFmtId="0" fontId="16" fillId="0" borderId="0" applyAlignment="1" pivotButton="0" quotePrefix="0" xfId="11">
      <alignment horizontal="left"/>
    </xf>
    <xf numFmtId="0" fontId="16" fillId="0" borderId="0" applyAlignment="1" pivotButton="0" quotePrefix="0" xfId="11">
      <alignment horizontal="left" vertical="top"/>
    </xf>
    <xf numFmtId="0" fontId="12" fillId="0" borderId="0" pivotButton="0" quotePrefix="0" xfId="11"/>
    <xf numFmtId="0" fontId="16" fillId="0" borderId="0" applyAlignment="1" pivotButton="0" quotePrefix="0" xfId="11">
      <alignment horizontal="center" vertical="top"/>
    </xf>
    <xf numFmtId="49" fontId="12" fillId="0" borderId="0" pivotButton="0" quotePrefix="0" xfId="0"/>
    <xf numFmtId="0" fontId="16" fillId="0" borderId="0" applyAlignment="1" pivotButton="0" quotePrefix="0" xfId="11">
      <alignment horizontal="right"/>
    </xf>
    <xf numFmtId="0" fontId="16" fillId="0" borderId="0" applyAlignment="1" pivotButton="0" quotePrefix="0" xfId="11">
      <alignment horizontal="center"/>
    </xf>
    <xf numFmtId="0" fontId="14" fillId="0" borderId="0" applyAlignment="1" pivotButton="0" quotePrefix="0" xfId="2">
      <alignment vertical="center"/>
    </xf>
    <xf numFmtId="0" fontId="22" fillId="0" borderId="0" applyAlignment="1" pivotButton="0" quotePrefix="0" xfId="0">
      <alignment horizontal="center"/>
    </xf>
    <xf numFmtId="0" fontId="23" fillId="0" borderId="0" pivotButton="0" quotePrefix="0" xfId="0"/>
    <xf numFmtId="0" fontId="16" fillId="0" borderId="0" applyAlignment="1" pivotButton="0" quotePrefix="0" xfId="11">
      <alignment vertical="top"/>
    </xf>
    <xf numFmtId="0" fontId="15" fillId="0" borderId="0" applyAlignment="1" applyProtection="1" pivotButton="0" quotePrefix="0" xfId="2">
      <alignment vertical="center"/>
      <protection locked="0" hidden="0"/>
    </xf>
    <xf numFmtId="0" fontId="15" fillId="0" borderId="25" applyAlignment="1" applyProtection="1" pivotButton="0" quotePrefix="0" xfId="2">
      <alignment vertical="center"/>
      <protection locked="0" hidden="0"/>
    </xf>
    <xf numFmtId="0" fontId="16" fillId="0" borderId="15" applyAlignment="1" applyProtection="1" pivotButton="0" quotePrefix="0" xfId="2">
      <alignment vertical="center" wrapText="1"/>
      <protection locked="0" hidden="0"/>
    </xf>
    <xf numFmtId="0" fontId="16" fillId="0" borderId="26" applyAlignment="1" applyProtection="1" pivotButton="0" quotePrefix="0" xfId="2">
      <alignment vertical="center" wrapText="1"/>
      <protection locked="0" hidden="0"/>
    </xf>
    <xf numFmtId="0" fontId="16" fillId="0" borderId="16" applyAlignment="1" applyProtection="1" pivotButton="0" quotePrefix="0" xfId="2">
      <alignment vertical="center" wrapText="1"/>
      <protection locked="0" hidden="0"/>
    </xf>
    <xf numFmtId="0" fontId="15" fillId="0" borderId="25" applyAlignment="1" applyProtection="1" pivotButton="0" quotePrefix="0" xfId="2">
      <alignment horizontal="center" vertical="center"/>
      <protection locked="0" hidden="0"/>
    </xf>
    <xf numFmtId="0" fontId="15" fillId="0" borderId="15" applyAlignment="1" applyProtection="1" pivotButton="0" quotePrefix="0" xfId="2">
      <alignment vertical="center"/>
      <protection locked="0" hidden="0"/>
    </xf>
    <xf numFmtId="0" fontId="15" fillId="0" borderId="26" applyAlignment="1" applyProtection="1" pivotButton="0" quotePrefix="0" xfId="2">
      <alignment vertical="center"/>
      <protection locked="0" hidden="0"/>
    </xf>
    <xf numFmtId="9" fontId="15" fillId="0" borderId="16" applyAlignment="1" applyProtection="1" pivotButton="0" quotePrefix="0" xfId="2">
      <alignment horizontal="left" vertical="center"/>
      <protection locked="0" hidden="0"/>
    </xf>
    <xf numFmtId="0" fontId="16" fillId="0" borderId="33" pivotButton="0" quotePrefix="0" xfId="0"/>
    <xf numFmtId="0" fontId="16" fillId="0" borderId="34" pivotButton="0" quotePrefix="0" xfId="0"/>
    <xf numFmtId="10" fontId="16" fillId="0" borderId="32" pivotButton="0" quotePrefix="0" xfId="0"/>
    <xf numFmtId="0" fontId="25" fillId="0" borderId="0" pivotButton="0" quotePrefix="0" xfId="0"/>
    <xf numFmtId="49" fontId="12" fillId="0" borderId="39" pivotButton="0" quotePrefix="0" xfId="0"/>
    <xf numFmtId="0" fontId="16" fillId="0" borderId="39" applyAlignment="1" pivotButton="0" quotePrefix="0" xfId="11">
      <alignment horizontal="left"/>
    </xf>
    <xf numFmtId="0" fontId="16" fillId="0" borderId="39" pivotButton="0" quotePrefix="0" xfId="11"/>
    <xf numFmtId="0" fontId="16" fillId="0" borderId="39" pivotButton="0" quotePrefix="0" xfId="0"/>
    <xf numFmtId="0" fontId="16" fillId="0" borderId="39" applyAlignment="1" pivotButton="0" quotePrefix="0" xfId="11">
      <alignment horizontal="right"/>
    </xf>
    <xf numFmtId="0" fontId="16" fillId="0" borderId="0" pivotButton="0" quotePrefix="0" xfId="0"/>
    <xf numFmtId="0" fontId="21" fillId="0" borderId="0" pivotButton="0" quotePrefix="0" xfId="0"/>
    <xf numFmtId="0" fontId="25" fillId="0" borderId="13" pivotButton="0" quotePrefix="0" xfId="0"/>
    <xf numFmtId="0" fontId="16" fillId="0" borderId="51" pivotButton="0" quotePrefix="0" xfId="0"/>
    <xf numFmtId="0" fontId="16" fillId="0" borderId="39" pivotButton="0" quotePrefix="0" xfId="0"/>
    <xf numFmtId="0" fontId="16" fillId="0" borderId="52" pivotButton="0" quotePrefix="0" xfId="0"/>
    <xf numFmtId="164" fontId="16" fillId="0" borderId="35" pivotButton="0" quotePrefix="0" xfId="10"/>
    <xf numFmtId="0" fontId="16" fillId="0" borderId="50" pivotButton="0" quotePrefix="0" xfId="0"/>
    <xf numFmtId="0" fontId="25" fillId="0" borderId="25" applyAlignment="1" pivotButton="0" quotePrefix="0" xfId="0">
      <alignment horizontal="center"/>
    </xf>
    <xf numFmtId="0" fontId="25" fillId="0" borderId="30" pivotButton="0" quotePrefix="0" xfId="0"/>
    <xf numFmtId="10" fontId="25" fillId="0" borderId="32" pivotButton="0" quotePrefix="0" xfId="0"/>
    <xf numFmtId="164" fontId="25" fillId="0" borderId="25" applyAlignment="1" pivotButton="0" quotePrefix="0" xfId="10">
      <alignment horizontal="center"/>
    </xf>
    <xf numFmtId="171" fontId="25" fillId="0" borderId="25" pivotButton="0" quotePrefix="0" xfId="10"/>
    <xf numFmtId="0" fontId="25" fillId="0" borderId="25" pivotButton="0" quotePrefix="0" xfId="0"/>
    <xf numFmtId="164" fontId="25" fillId="0" borderId="0" pivotButton="0" quotePrefix="0" xfId="0"/>
    <xf numFmtId="0" fontId="25" fillId="0" borderId="15" pivotButton="0" quotePrefix="0" xfId="0"/>
    <xf numFmtId="0" fontId="25" fillId="0" borderId="47" applyAlignment="1" pivotButton="0" quotePrefix="0" xfId="0">
      <alignment horizontal="center"/>
    </xf>
    <xf numFmtId="0" fontId="25" fillId="0" borderId="48" pivotButton="0" quotePrefix="0" xfId="0"/>
    <xf numFmtId="10" fontId="25" fillId="0" borderId="49" pivotButton="0" quotePrefix="0" xfId="0"/>
    <xf numFmtId="164" fontId="25" fillId="0" borderId="47" applyAlignment="1" pivotButton="0" quotePrefix="0" xfId="10">
      <alignment horizontal="center"/>
    </xf>
    <xf numFmtId="171" fontId="25" fillId="0" borderId="47" pivotButton="0" quotePrefix="0" xfId="10"/>
    <xf numFmtId="0" fontId="25" fillId="0" borderId="47" pivotButton="0" quotePrefix="0" xfId="0"/>
    <xf numFmtId="0" fontId="27" fillId="0" borderId="0" pivotButton="0" quotePrefix="0" xfId="11"/>
    <xf numFmtId="0" fontId="27" fillId="0" borderId="0" applyAlignment="1" pivotButton="0" quotePrefix="0" xfId="11">
      <alignment horizontal="center"/>
    </xf>
    <xf numFmtId="0" fontId="27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8" fillId="0" borderId="0" applyAlignment="1" pivotButton="0" quotePrefix="0" xfId="0">
      <alignment horizontal="center"/>
    </xf>
    <xf numFmtId="0" fontId="27" fillId="0" borderId="0" applyAlignment="1" pivotButton="0" quotePrefix="0" xfId="11">
      <alignment horizontal="left"/>
    </xf>
    <xf numFmtId="0" fontId="29" fillId="0" borderId="0" applyAlignment="1" pivotButton="0" quotePrefix="0" xfId="0">
      <alignment horizontal="center"/>
    </xf>
    <xf numFmtId="0" fontId="30" fillId="0" borderId="0" pivotButton="0" quotePrefix="0" xfId="0"/>
    <xf numFmtId="0" fontId="15" fillId="6" borderId="0" applyAlignment="1" pivotButton="0" quotePrefix="0" xfId="2">
      <alignment vertical="center"/>
    </xf>
    <xf numFmtId="0" fontId="12" fillId="6" borderId="0" applyAlignment="1" pivotButton="0" quotePrefix="0" xfId="2">
      <alignment horizontal="center" vertical="center"/>
    </xf>
    <xf numFmtId="0" fontId="12" fillId="6" borderId="7" applyAlignment="1" pivotButton="0" quotePrefix="0" xfId="2">
      <alignment horizontal="center" vertical="center"/>
    </xf>
    <xf numFmtId="0" fontId="12" fillId="6" borderId="5" applyAlignment="1" pivotButton="0" quotePrefix="0" xfId="2">
      <alignment horizontal="center" vertical="center"/>
    </xf>
    <xf numFmtId="43" fontId="12" fillId="6" borderId="9" applyAlignment="1" pivotButton="0" quotePrefix="0" xfId="28">
      <alignment horizontal="right" vertical="center"/>
    </xf>
    <xf numFmtId="0" fontId="13" fillId="0" borderId="0" applyAlignment="1" applyProtection="1" pivotButton="0" quotePrefix="0" xfId="2">
      <alignment horizontal="right" vertical="center"/>
      <protection locked="0" hidden="0"/>
    </xf>
    <xf numFmtId="164" fontId="15" fillId="0" borderId="25" applyAlignment="1" applyProtection="1" pivotButton="0" quotePrefix="0" xfId="2">
      <alignment vertical="center"/>
      <protection locked="0" hidden="0"/>
    </xf>
    <xf numFmtId="164" fontId="15" fillId="0" borderId="25" applyAlignment="1" applyProtection="1" pivotButton="0" quotePrefix="0" xfId="1">
      <alignment vertical="center"/>
      <protection locked="0" hidden="0"/>
    </xf>
    <xf numFmtId="43" fontId="15" fillId="0" borderId="25" applyAlignment="1" applyProtection="1" pivotButton="0" quotePrefix="0" xfId="2">
      <alignment vertical="center"/>
      <protection locked="0" hidden="0"/>
    </xf>
    <xf numFmtId="0" fontId="13" fillId="6" borderId="5" applyAlignment="1" applyProtection="1" pivotButton="0" quotePrefix="0" xfId="2">
      <alignment horizontal="center" vertical="center"/>
      <protection locked="0" hidden="0"/>
    </xf>
    <xf numFmtId="0" fontId="16" fillId="0" borderId="32" applyAlignment="1" applyProtection="1" pivotButton="0" quotePrefix="0" xfId="2">
      <alignment vertical="center" wrapText="1"/>
      <protection locked="0" hidden="0"/>
    </xf>
    <xf numFmtId="9" fontId="15" fillId="0" borderId="17" applyAlignment="1" applyProtection="1" pivotButton="0" quotePrefix="0" xfId="2">
      <alignment vertical="center"/>
      <protection locked="0" hidden="0"/>
    </xf>
    <xf numFmtId="0" fontId="15" fillId="0" borderId="17" applyAlignment="1" applyProtection="1" pivotButton="0" quotePrefix="0" xfId="2">
      <alignment vertical="center"/>
      <protection locked="0" hidden="0"/>
    </xf>
    <xf numFmtId="0" fontId="15" fillId="0" borderId="17" applyAlignment="1" applyProtection="1" pivotButton="0" quotePrefix="0" xfId="2">
      <alignment horizontal="center" vertical="center"/>
      <protection locked="0" hidden="0"/>
    </xf>
    <xf numFmtId="0" fontId="13" fillId="6" borderId="50" applyAlignment="1" applyProtection="1" pivotButton="0" quotePrefix="0" xfId="2">
      <alignment horizontal="center" vertical="center"/>
      <protection locked="0" hidden="0"/>
    </xf>
    <xf numFmtId="0" fontId="15" fillId="0" borderId="47" applyAlignment="1" applyProtection="1" pivotButton="0" quotePrefix="0" xfId="2">
      <alignment vertical="center"/>
      <protection locked="0" hidden="0"/>
    </xf>
    <xf numFmtId="0" fontId="16" fillId="0" borderId="53" pivotButton="0" quotePrefix="0" xfId="0"/>
    <xf numFmtId="0" fontId="16" fillId="0" borderId="42" pivotButton="0" quotePrefix="0" xfId="0"/>
    <xf numFmtId="164" fontId="16" fillId="0" borderId="39" pivotButton="0" quotePrefix="0" xfId="10"/>
    <xf numFmtId="0" fontId="27" fillId="0" borderId="39" pivotButton="0" quotePrefix="0" xfId="0"/>
    <xf numFmtId="0" fontId="27" fillId="0" borderId="42" pivotButton="0" quotePrefix="0" xfId="0"/>
    <xf numFmtId="0" fontId="33" fillId="0" borderId="0" pivotButton="0" quotePrefix="0" xfId="11"/>
    <xf numFmtId="0" fontId="33" fillId="0" borderId="0" applyAlignment="1" pivotButton="0" quotePrefix="0" xfId="11">
      <alignment horizontal="center"/>
    </xf>
    <xf numFmtId="0" fontId="33" fillId="0" borderId="0" pivotButton="0" quotePrefix="0" xfId="0"/>
    <xf numFmtId="0" fontId="34" fillId="0" borderId="0" pivotButton="0" quotePrefix="0" xfId="0"/>
    <xf numFmtId="0" fontId="33" fillId="0" borderId="0" pivotButton="0" quotePrefix="0" xfId="0"/>
    <xf numFmtId="0" fontId="34" fillId="0" borderId="0" applyAlignment="1" pivotButton="0" quotePrefix="0" xfId="0">
      <alignment horizontal="center"/>
    </xf>
    <xf numFmtId="0" fontId="33" fillId="0" borderId="0" applyAlignment="1" pivotButton="0" quotePrefix="0" xfId="11">
      <alignment horizontal="left"/>
    </xf>
    <xf numFmtId="0" fontId="35" fillId="0" borderId="0" applyAlignment="1" pivotButton="0" quotePrefix="0" xfId="0">
      <alignment horizontal="center"/>
    </xf>
    <xf numFmtId="0" fontId="36" fillId="0" borderId="0" pivotButton="0" quotePrefix="0" xfId="0"/>
    <xf numFmtId="0" fontId="37" fillId="0" borderId="0" applyAlignment="1" pivotButton="0" quotePrefix="0" xfId="2">
      <alignment vertical="center"/>
    </xf>
    <xf numFmtId="0" fontId="33" fillId="0" borderId="0" pivotButton="0" quotePrefix="0" xfId="2"/>
    <xf numFmtId="0" fontId="38" fillId="0" borderId="0" applyAlignment="1" pivotButton="0" quotePrefix="0" xfId="2">
      <alignment vertical="center"/>
    </xf>
    <xf numFmtId="0" fontId="33" fillId="0" borderId="0" applyAlignment="1" pivotButton="0" quotePrefix="0" xfId="11">
      <alignment horizontal="left" vertical="top"/>
    </xf>
    <xf numFmtId="0" fontId="32" fillId="0" borderId="0" pivotButton="0" quotePrefix="0" xfId="11"/>
    <xf numFmtId="0" fontId="33" fillId="0" borderId="0" applyAlignment="1" pivotButton="0" quotePrefix="0" xfId="11">
      <alignment vertical="top"/>
    </xf>
    <xf numFmtId="49" fontId="32" fillId="0" borderId="39" pivotButton="0" quotePrefix="0" xfId="0"/>
    <xf numFmtId="0" fontId="33" fillId="0" borderId="39" applyAlignment="1" pivotButton="0" quotePrefix="0" xfId="11">
      <alignment horizontal="left"/>
    </xf>
    <xf numFmtId="0" fontId="33" fillId="0" borderId="39" pivotButton="0" quotePrefix="0" xfId="11"/>
    <xf numFmtId="0" fontId="33" fillId="0" borderId="39" pivotButton="0" quotePrefix="0" xfId="0"/>
    <xf numFmtId="0" fontId="33" fillId="0" borderId="39" applyAlignment="1" pivotButton="0" quotePrefix="0" xfId="11">
      <alignment horizontal="right"/>
    </xf>
    <xf numFmtId="0" fontId="33" fillId="0" borderId="19" pivotButton="0" quotePrefix="0" xfId="0"/>
    <xf numFmtId="0" fontId="33" fillId="0" borderId="0" applyAlignment="1" pivotButton="0" quotePrefix="0" xfId="11">
      <alignment horizontal="right"/>
    </xf>
    <xf numFmtId="0" fontId="32" fillId="0" borderId="35" applyAlignment="1" pivotButton="0" quotePrefix="0" xfId="11">
      <alignment horizontal="center"/>
    </xf>
    <xf numFmtId="0" fontId="32" fillId="0" borderId="17" applyAlignment="1" pivotButton="0" quotePrefix="0" xfId="11">
      <alignment horizontal="center"/>
    </xf>
    <xf numFmtId="0" fontId="39" fillId="0" borderId="31" applyAlignment="1" pivotButton="0" quotePrefix="0" xfId="11">
      <alignment vertical="top" wrapText="1"/>
    </xf>
    <xf numFmtId="0" fontId="32" fillId="0" borderId="31" applyAlignment="1" pivotButton="0" quotePrefix="0" xfId="11">
      <alignment vertical="top" wrapText="1"/>
    </xf>
    <xf numFmtId="0" fontId="32" fillId="0" borderId="32" applyAlignment="1" pivotButton="0" quotePrefix="0" xfId="11">
      <alignment vertical="top" wrapText="1"/>
    </xf>
    <xf numFmtId="0" fontId="33" fillId="0" borderId="41" pivotButton="0" quotePrefix="0" xfId="0"/>
    <xf numFmtId="0" fontId="33" fillId="0" borderId="25" applyAlignment="1" pivotButton="0" quotePrefix="0" xfId="11">
      <alignment horizontal="center" vertical="center"/>
    </xf>
    <xf numFmtId="164" fontId="32" fillId="0" borderId="25" applyAlignment="1" pivotButton="0" quotePrefix="0" xfId="11">
      <alignment horizontal="center"/>
    </xf>
    <xf numFmtId="0" fontId="32" fillId="0" borderId="18" applyAlignment="1" pivotButton="0" quotePrefix="0" xfId="11">
      <alignment horizontal="center" vertical="center"/>
    </xf>
    <xf numFmtId="164" fontId="32" fillId="0" borderId="18" applyAlignment="1" pivotButton="0" quotePrefix="0" xfId="1">
      <alignment horizontal="center"/>
    </xf>
    <xf numFmtId="0" fontId="32" fillId="0" borderId="25" applyAlignment="1" pivotButton="0" quotePrefix="0" xfId="11">
      <alignment horizontal="center"/>
    </xf>
    <xf numFmtId="0" fontId="33" fillId="0" borderId="0" applyAlignment="1" pivotButton="0" quotePrefix="0" xfId="0">
      <alignment horizontal="center" vertical="center"/>
    </xf>
    <xf numFmtId="0" fontId="33" fillId="0" borderId="5" pivotButton="0" quotePrefix="0" xfId="0"/>
    <xf numFmtId="0" fontId="32" fillId="0" borderId="16" applyAlignment="1" pivotButton="0" quotePrefix="0" xfId="11">
      <alignment horizontal="center"/>
    </xf>
    <xf numFmtId="0" fontId="33" fillId="0" borderId="5" applyAlignment="1" pivotButton="0" quotePrefix="0" xfId="0">
      <alignment horizontal="center" vertical="center"/>
    </xf>
    <xf numFmtId="0" fontId="33" fillId="0" borderId="0" applyAlignment="1" pivotButton="0" quotePrefix="0" xfId="0">
      <alignment horizontal="left"/>
    </xf>
    <xf numFmtId="0" fontId="33" fillId="0" borderId="13" applyAlignment="1" pivotButton="0" quotePrefix="0" xfId="0">
      <alignment horizontal="left"/>
    </xf>
    <xf numFmtId="0" fontId="32" fillId="0" borderId="13" applyAlignment="1" pivotButton="0" quotePrefix="0" xfId="11">
      <alignment horizontal="center"/>
    </xf>
    <xf numFmtId="0" fontId="32" fillId="0" borderId="4" applyAlignment="1" pivotButton="0" quotePrefix="0" xfId="11">
      <alignment horizontal="center"/>
    </xf>
    <xf numFmtId="0" fontId="33" fillId="0" borderId="19" pivotButton="0" quotePrefix="0" xfId="11"/>
    <xf numFmtId="172" fontId="32" fillId="0" borderId="19" pivotButton="0" quotePrefix="0" xfId="11"/>
    <xf numFmtId="0" fontId="32" fillId="0" borderId="19" pivotButton="0" quotePrefix="0" xfId="11"/>
    <xf numFmtId="0" fontId="33" fillId="0" borderId="13" pivotButton="0" quotePrefix="0" xfId="11"/>
    <xf numFmtId="172" fontId="32" fillId="0" borderId="5" applyAlignment="1" pivotButton="0" quotePrefix="0" xfId="7">
      <alignment horizontal="center"/>
    </xf>
    <xf numFmtId="0" fontId="33" fillId="0" borderId="5" pivotButton="0" quotePrefix="0" xfId="11"/>
    <xf numFmtId="0" fontId="33" fillId="0" borderId="9" pivotButton="0" quotePrefix="0" xfId="11"/>
    <xf numFmtId="164" fontId="33" fillId="0" borderId="9" applyAlignment="1" pivotButton="0" quotePrefix="0" xfId="11">
      <alignment horizontal="center"/>
    </xf>
    <xf numFmtId="0" fontId="32" fillId="0" borderId="9" applyAlignment="1" pivotButton="0" quotePrefix="0" xfId="11">
      <alignment horizontal="center"/>
    </xf>
    <xf numFmtId="0" fontId="33" fillId="0" borderId="1" pivotButton="0" quotePrefix="0" xfId="11"/>
    <xf numFmtId="164" fontId="33" fillId="0" borderId="1" applyAlignment="1" pivotButton="0" quotePrefix="0" xfId="11">
      <alignment horizontal="center"/>
    </xf>
    <xf numFmtId="0" fontId="32" fillId="0" borderId="1" applyAlignment="1" pivotButton="0" quotePrefix="0" xfId="11">
      <alignment horizontal="center"/>
    </xf>
    <xf numFmtId="164" fontId="32" fillId="0" borderId="40" applyAlignment="1" pivotButton="0" quotePrefix="0" xfId="11">
      <alignment horizontal="center"/>
    </xf>
    <xf numFmtId="0" fontId="32" fillId="0" borderId="40" applyAlignment="1" pivotButton="0" quotePrefix="0" xfId="11">
      <alignment horizontal="center"/>
    </xf>
    <xf numFmtId="0" fontId="32" fillId="0" borderId="37" applyAlignment="1" pivotButton="0" quotePrefix="0" xfId="11">
      <alignment vertical="center"/>
    </xf>
    <xf numFmtId="0" fontId="33" fillId="0" borderId="38" pivotButton="0" quotePrefix="0" xfId="11"/>
    <xf numFmtId="166" fontId="6" fillId="0" borderId="0" applyAlignment="1" pivotButton="0" quotePrefix="0" xfId="12">
      <alignment horizontal="center"/>
    </xf>
    <xf numFmtId="165" fontId="10" fillId="0" borderId="21" applyAlignment="1" pivotButton="0" quotePrefix="0" xfId="13">
      <alignment horizontal="center"/>
    </xf>
    <xf numFmtId="165" fontId="10" fillId="0" borderId="22" applyAlignment="1" pivotButton="0" quotePrefix="0" xfId="13">
      <alignment horizontal="center"/>
    </xf>
    <xf numFmtId="165" fontId="10" fillId="0" borderId="23" applyAlignment="1" pivotButton="0" quotePrefix="0" xfId="13">
      <alignment horizontal="center"/>
    </xf>
    <xf numFmtId="0" fontId="6" fillId="0" borderId="0" applyAlignment="1" pivotButton="0" quotePrefix="0" xfId="12">
      <alignment horizontal="center"/>
    </xf>
    <xf numFmtId="164" fontId="7" fillId="4" borderId="0" applyAlignment="1" applyProtection="1" pivotButton="0" quotePrefix="0" xfId="13">
      <alignment horizontal="center"/>
      <protection locked="0" hidden="0"/>
    </xf>
    <xf numFmtId="165" fontId="7" fillId="4" borderId="0" applyAlignment="1" applyProtection="1" pivotButton="0" quotePrefix="0" xfId="13">
      <alignment horizontal="center"/>
      <protection locked="0" hidden="0"/>
    </xf>
    <xf numFmtId="4" fontId="6" fillId="0" borderId="19" applyAlignment="1" pivotButton="0" quotePrefix="0" xfId="12">
      <alignment horizontal="center"/>
    </xf>
    <xf numFmtId="0" fontId="6" fillId="0" borderId="0" applyAlignment="1" pivotButton="0" quotePrefix="0" xfId="12">
      <alignment horizontal="left" vertical="center"/>
    </xf>
    <xf numFmtId="0" fontId="6" fillId="0" borderId="0" applyAlignment="1" pivotButton="0" quotePrefix="0" xfId="12">
      <alignment horizontal="center" vertical="center"/>
    </xf>
    <xf numFmtId="165" fontId="6" fillId="0" borderId="0" applyAlignment="1" pivotButton="0" quotePrefix="0" xfId="12">
      <alignment horizontal="center" vertical="center"/>
    </xf>
    <xf numFmtId="0" fontId="6" fillId="0" borderId="19" applyAlignment="1" pivotButton="0" quotePrefix="0" xfId="12">
      <alignment horizontal="center"/>
    </xf>
    <xf numFmtId="0" fontId="6" fillId="0" borderId="20" applyAlignment="1" pivotButton="0" quotePrefix="0" xfId="12">
      <alignment horizontal="center"/>
    </xf>
    <xf numFmtId="164" fontId="7" fillId="0" borderId="0" applyAlignment="1" pivotButton="0" quotePrefix="0" xfId="14">
      <alignment horizontal="center"/>
    </xf>
    <xf numFmtId="0" fontId="9" fillId="0" borderId="0" applyAlignment="1" pivotButton="0" quotePrefix="0" xfId="12">
      <alignment horizontal="center"/>
    </xf>
    <xf numFmtId="164" fontId="7" fillId="0" borderId="0" applyAlignment="1" pivotButton="0" quotePrefix="0" xfId="13">
      <alignment horizontal="center"/>
    </xf>
    <xf numFmtId="9" fontId="7" fillId="0" borderId="0" applyAlignment="1" pivotButton="0" quotePrefix="0" xfId="12">
      <alignment horizontal="center"/>
    </xf>
    <xf numFmtId="0" fontId="13" fillId="0" borderId="0" applyAlignment="1" pivotButton="0" quotePrefix="0" xfId="2">
      <alignment horizontal="center" vertical="center"/>
    </xf>
    <xf numFmtId="0" fontId="16" fillId="0" borderId="0" applyAlignment="1" pivotButton="0" quotePrefix="0" xfId="11">
      <alignment horizontal="center" vertical="top"/>
    </xf>
    <xf numFmtId="164" fontId="12" fillId="2" borderId="1" applyAlignment="1" pivotButton="0" quotePrefix="0" xfId="1">
      <alignment horizontal="center" vertical="center"/>
    </xf>
    <xf numFmtId="164" fontId="12" fillId="2" borderId="6" applyAlignment="1" pivotButton="0" quotePrefix="0" xfId="1">
      <alignment horizontal="center" vertical="center"/>
    </xf>
    <xf numFmtId="0" fontId="12" fillId="2" borderId="2" applyAlignment="1" pivotButton="0" quotePrefix="0" xfId="2">
      <alignment horizontal="center" vertical="center"/>
    </xf>
    <xf numFmtId="0" fontId="12" fillId="2" borderId="8" applyAlignment="1" pivotButton="0" quotePrefix="0" xfId="2">
      <alignment horizontal="center" vertical="center"/>
    </xf>
    <xf numFmtId="0" fontId="12" fillId="2" borderId="3" applyAlignment="1" pivotButton="0" quotePrefix="0" xfId="2">
      <alignment horizontal="center" vertical="center"/>
    </xf>
    <xf numFmtId="0" fontId="12" fillId="2" borderId="9" applyAlignment="1" pivotButton="0" quotePrefix="0" xfId="2">
      <alignment horizontal="center" vertical="center"/>
    </xf>
    <xf numFmtId="0" fontId="12" fillId="2" borderId="1" applyAlignment="1" pivotButton="0" quotePrefix="0" xfId="4">
      <alignment horizontal="center" vertical="center"/>
    </xf>
    <xf numFmtId="0" fontId="12" fillId="2" borderId="4" applyAlignment="1" pivotButton="0" quotePrefix="0" xfId="0">
      <alignment horizontal="center" vertical="center"/>
    </xf>
    <xf numFmtId="0" fontId="12" fillId="2" borderId="4" applyAlignment="1" pivotButton="0" quotePrefix="0" xfId="4">
      <alignment horizontal="center" vertical="center"/>
    </xf>
    <xf numFmtId="164" fontId="12" fillId="2" borderId="4" applyAlignment="1" pivotButton="0" quotePrefix="0" xfId="1">
      <alignment horizontal="center" vertical="center"/>
    </xf>
    <xf numFmtId="164" fontId="12" fillId="2" borderId="2" applyAlignment="1" pivotButton="0" quotePrefix="0" xfId="1">
      <alignment horizontal="center" vertical="center"/>
    </xf>
    <xf numFmtId="164" fontId="12" fillId="2" borderId="3" applyAlignment="1" pivotButton="0" quotePrefix="0" xfId="1">
      <alignment horizontal="center" vertical="center"/>
    </xf>
    <xf numFmtId="0" fontId="14" fillId="0" borderId="0" applyAlignment="1" pivotButton="0" quotePrefix="0" xfId="2">
      <alignment horizontal="left" vertical="center"/>
    </xf>
    <xf numFmtId="0" fontId="12" fillId="6" borderId="1" applyAlignment="1" pivotButton="0" quotePrefix="0" xfId="2">
      <alignment horizontal="center" vertical="center"/>
    </xf>
    <xf numFmtId="0" fontId="12" fillId="6" borderId="5" applyAlignment="1" pivotButton="0" quotePrefix="0" xfId="2">
      <alignment horizontal="center" vertical="center"/>
    </xf>
    <xf numFmtId="0" fontId="12" fillId="6" borderId="9" applyAlignment="1" pivotButton="0" quotePrefix="0" xfId="2">
      <alignment horizontal="center" vertical="center"/>
    </xf>
    <xf numFmtId="0" fontId="12" fillId="3" borderId="9" applyAlignment="1" pivotButton="0" quotePrefix="0" xfId="2">
      <alignment horizontal="center" vertical="center"/>
    </xf>
    <xf numFmtId="0" fontId="31" fillId="6" borderId="1" applyAlignment="1" pivotButton="0" quotePrefix="0" xfId="2">
      <alignment horizontal="center" vertical="center"/>
    </xf>
    <xf numFmtId="0" fontId="31" fillId="6" borderId="5" applyAlignment="1" pivotButton="0" quotePrefix="0" xfId="2">
      <alignment horizontal="center" vertical="center"/>
    </xf>
    <xf numFmtId="0" fontId="12" fillId="6" borderId="10" applyAlignment="1" pivotButton="0" quotePrefix="0" xfId="2">
      <alignment horizontal="center" vertical="center"/>
    </xf>
    <xf numFmtId="0" fontId="12" fillId="6" borderId="20" applyAlignment="1" pivotButton="0" quotePrefix="0" xfId="2">
      <alignment horizontal="center" vertical="center"/>
    </xf>
    <xf numFmtId="0" fontId="12" fillId="6" borderId="7" applyAlignment="1" pivotButton="0" quotePrefix="0" xfId="2">
      <alignment horizontal="center" vertical="center"/>
    </xf>
    <xf numFmtId="0" fontId="12" fillId="6" borderId="0" applyAlignment="1" pivotButton="0" quotePrefix="0" xfId="2">
      <alignment horizontal="center" vertical="center"/>
    </xf>
    <xf numFmtId="0" fontId="12" fillId="6" borderId="2" applyAlignment="1" pivotButton="0" quotePrefix="0" xfId="2">
      <alignment horizontal="center" vertical="center"/>
    </xf>
    <xf numFmtId="0" fontId="12" fillId="6" borderId="3" applyAlignment="1" pivotButton="0" quotePrefix="0" xfId="2">
      <alignment horizontal="center" vertical="center"/>
    </xf>
    <xf numFmtId="0" fontId="16" fillId="0" borderId="15" applyAlignment="1" pivotButton="0" quotePrefix="0" xfId="2">
      <alignment horizontal="center" vertical="center"/>
    </xf>
    <xf numFmtId="0" fontId="16" fillId="0" borderId="16" applyAlignment="1" pivotButton="0" quotePrefix="0" xfId="2">
      <alignment horizontal="center" vertical="center"/>
    </xf>
    <xf numFmtId="0" fontId="21" fillId="0" borderId="0" applyAlignment="1" pivotButton="0" quotePrefix="0" xfId="0">
      <alignment horizontal="center"/>
    </xf>
    <xf numFmtId="0" fontId="12" fillId="0" borderId="10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9" applyAlignment="1" pivotButton="0" quotePrefix="0" xfId="0">
      <alignment horizontal="center"/>
    </xf>
    <xf numFmtId="0" fontId="32" fillId="0" borderId="0" applyAlignment="1" pivotButton="0" quotePrefix="0" xfId="11">
      <alignment horizontal="left"/>
    </xf>
    <xf numFmtId="0" fontId="33" fillId="0" borderId="0" applyAlignment="1" pivotButton="0" quotePrefix="0" xfId="11">
      <alignment horizontal="left"/>
    </xf>
    <xf numFmtId="164" fontId="16" fillId="0" borderId="6" applyAlignment="1" pivotButton="0" quotePrefix="0" xfId="0">
      <alignment horizontal="center"/>
    </xf>
    <xf numFmtId="164" fontId="16" fillId="0" borderId="12" applyAlignment="1" pivotButton="0" quotePrefix="0" xfId="0">
      <alignment horizontal="center"/>
    </xf>
    <xf numFmtId="0" fontId="26" fillId="0" borderId="0" applyAlignment="1" pivotButton="0" quotePrefix="0" xfId="11">
      <alignment horizontal="left"/>
    </xf>
    <xf numFmtId="0" fontId="27" fillId="0" borderId="0" applyAlignment="1" pivotButton="0" quotePrefix="0" xfId="11">
      <alignment horizontal="left"/>
    </xf>
    <xf numFmtId="0" fontId="28" fillId="0" borderId="0" applyAlignment="1" pivotButton="0" quotePrefix="0" xfId="0">
      <alignment horizontal="center"/>
    </xf>
    <xf numFmtId="0" fontId="16" fillId="0" borderId="42" applyAlignment="1" pivotButton="0" quotePrefix="0" xfId="0">
      <alignment horizontal="center"/>
    </xf>
    <xf numFmtId="0" fontId="16" fillId="0" borderId="51" applyAlignment="1" pivotButton="0" quotePrefix="0" xfId="0">
      <alignment horizontal="center"/>
    </xf>
    <xf numFmtId="0" fontId="16" fillId="0" borderId="39" applyAlignment="1" pivotButton="0" quotePrefix="0" xfId="0">
      <alignment horizontal="center"/>
    </xf>
    <xf numFmtId="164" fontId="16" fillId="0" borderId="55" applyAlignment="1" pivotButton="0" quotePrefix="0" xfId="0">
      <alignment horizontal="center"/>
    </xf>
    <xf numFmtId="0" fontId="16" fillId="0" borderId="54" applyAlignment="1" pivotButton="0" quotePrefix="0" xfId="0">
      <alignment horizontal="center"/>
    </xf>
    <xf numFmtId="0" fontId="15" fillId="0" borderId="25" applyAlignment="1" applyProtection="1" pivotButton="0" quotePrefix="0" xfId="2">
      <alignment horizontal="center" vertical="center"/>
      <protection locked="0" hidden="0"/>
    </xf>
    <xf numFmtId="43" fontId="15" fillId="0" borderId="15" applyAlignment="1" applyProtection="1" pivotButton="0" quotePrefix="0" xfId="2">
      <alignment horizontal="center" vertical="center"/>
      <protection locked="0" hidden="0"/>
    </xf>
    <xf numFmtId="43" fontId="15" fillId="0" borderId="16" applyAlignment="1" applyProtection="1" pivotButton="0" quotePrefix="0" xfId="2">
      <alignment horizontal="center" vertical="center"/>
      <protection locked="0" hidden="0"/>
    </xf>
    <xf numFmtId="0" fontId="15" fillId="0" borderId="25" applyAlignment="1" applyProtection="1" pivotButton="0" quotePrefix="0" xfId="2">
      <alignment horizontal="left" vertical="center"/>
      <protection locked="0" hidden="0"/>
    </xf>
    <xf numFmtId="0" fontId="15" fillId="0" borderId="47" applyAlignment="1" applyProtection="1" pivotButton="0" quotePrefix="0" xfId="2">
      <alignment horizontal="center" vertical="center"/>
      <protection locked="0" hidden="0"/>
    </xf>
    <xf numFmtId="43" fontId="15" fillId="0" borderId="48" applyAlignment="1" applyProtection="1" pivotButton="0" quotePrefix="0" xfId="2">
      <alignment horizontal="center" vertical="center"/>
      <protection locked="0" hidden="0"/>
    </xf>
    <xf numFmtId="43" fontId="15" fillId="0" borderId="49" applyAlignment="1" applyProtection="1" pivotButton="0" quotePrefix="0" xfId="2">
      <alignment horizontal="center" vertical="center"/>
      <protection locked="0" hidden="0"/>
    </xf>
    <xf numFmtId="43" fontId="15" fillId="0" borderId="17" applyAlignment="1" applyProtection="1" pivotButton="0" quotePrefix="0" xfId="23">
      <alignment horizontal="center" vertical="center"/>
      <protection locked="0" hidden="0"/>
    </xf>
    <xf numFmtId="164" fontId="15" fillId="0" borderId="17" applyAlignment="1" applyProtection="1" pivotButton="0" quotePrefix="1" xfId="1">
      <alignment horizontal="center" vertical="center"/>
      <protection locked="0" hidden="0"/>
    </xf>
    <xf numFmtId="164" fontId="15" fillId="0" borderId="17" applyAlignment="1" applyProtection="1" pivotButton="0" quotePrefix="0" xfId="1">
      <alignment horizontal="center" vertical="center"/>
      <protection locked="0" hidden="0"/>
    </xf>
    <xf numFmtId="164" fontId="15" fillId="0" borderId="25" applyAlignment="1" applyProtection="1" pivotButton="0" quotePrefix="0" xfId="6">
      <alignment horizontal="center" vertical="center"/>
      <protection locked="0" hidden="0"/>
    </xf>
    <xf numFmtId="43" fontId="15" fillId="0" borderId="15" applyAlignment="1" applyProtection="1" pivotButton="0" quotePrefix="0" xfId="23">
      <alignment horizontal="center" vertical="center"/>
      <protection locked="0" hidden="0"/>
    </xf>
    <xf numFmtId="43" fontId="15" fillId="0" borderId="16" applyAlignment="1" applyProtection="1" pivotButton="0" quotePrefix="0" xfId="23">
      <alignment horizontal="center" vertical="center"/>
      <protection locked="0" hidden="0"/>
    </xf>
    <xf numFmtId="0" fontId="24" fillId="0" borderId="25" applyAlignment="1" applyProtection="1" pivotButton="0" quotePrefix="0" xfId="2">
      <alignment horizontal="center" vertical="center"/>
      <protection locked="0" hidden="0"/>
    </xf>
    <xf numFmtId="0" fontId="16" fillId="0" borderId="30" applyAlignment="1" applyProtection="1" pivotButton="0" quotePrefix="0" xfId="2">
      <alignment horizontal="left" vertical="center"/>
      <protection locked="0" hidden="0"/>
    </xf>
    <xf numFmtId="0" fontId="16" fillId="0" borderId="31" applyAlignment="1" applyProtection="1" pivotButton="0" quotePrefix="0" xfId="2">
      <alignment horizontal="left" vertical="center"/>
      <protection locked="0" hidden="0"/>
    </xf>
    <xf numFmtId="0" fontId="13" fillId="6" borderId="5" applyAlignment="1" applyProtection="1" pivotButton="0" quotePrefix="0" xfId="2">
      <alignment horizontal="center" vertical="center"/>
      <protection locked="0" hidden="0"/>
    </xf>
    <xf numFmtId="0" fontId="13" fillId="6" borderId="50" applyAlignment="1" pivotButton="0" quotePrefix="0" xfId="2">
      <alignment horizontal="center" vertical="center"/>
    </xf>
    <xf numFmtId="0" fontId="12" fillId="6" borderId="51" applyAlignment="1" applyProtection="1" pivotButton="0" quotePrefix="0" xfId="2">
      <alignment horizontal="center" vertical="center"/>
      <protection locked="0" hidden="0"/>
    </xf>
    <xf numFmtId="0" fontId="12" fillId="6" borderId="52" applyAlignment="1" applyProtection="1" pivotButton="0" quotePrefix="0" xfId="2">
      <alignment horizontal="center" vertical="center"/>
      <protection locked="0" hidden="0"/>
    </xf>
    <xf numFmtId="0" fontId="13" fillId="6" borderId="7" applyAlignment="1" applyProtection="1" pivotButton="0" quotePrefix="0" xfId="2">
      <alignment horizontal="center" vertical="center"/>
      <protection locked="0" hidden="0"/>
    </xf>
    <xf numFmtId="0" fontId="13" fillId="6" borderId="0" applyAlignment="1" applyProtection="1" pivotButton="0" quotePrefix="0" xfId="2">
      <alignment horizontal="center" vertical="center"/>
      <protection locked="0" hidden="0"/>
    </xf>
    <xf numFmtId="0" fontId="13" fillId="6" borderId="13" applyAlignment="1" applyProtection="1" pivotButton="0" quotePrefix="0" xfId="2">
      <alignment horizontal="center" vertical="center"/>
      <protection locked="0" hidden="0"/>
    </xf>
    <xf numFmtId="0" fontId="13" fillId="6" borderId="51" applyAlignment="1" pivotButton="0" quotePrefix="0" xfId="2">
      <alignment horizontal="center" vertical="center"/>
    </xf>
    <xf numFmtId="0" fontId="13" fillId="6" borderId="39" applyAlignment="1" pivotButton="0" quotePrefix="0" xfId="2">
      <alignment horizontal="center" vertical="center"/>
    </xf>
    <xf numFmtId="0" fontId="13" fillId="6" borderId="52" applyAlignment="1" pivotButton="0" quotePrefix="0" xfId="2">
      <alignment horizontal="center" vertical="center"/>
    </xf>
    <xf numFmtId="0" fontId="12" fillId="6" borderId="7" applyAlignment="1" applyProtection="1" pivotButton="0" quotePrefix="0" xfId="2">
      <alignment horizontal="center" vertical="center"/>
      <protection locked="0" hidden="0"/>
    </xf>
    <xf numFmtId="0" fontId="12" fillId="6" borderId="13" applyAlignment="1" applyProtection="1" pivotButton="0" quotePrefix="0" xfId="2">
      <alignment horizontal="center" vertical="center"/>
      <protection locked="0" hidden="0"/>
    </xf>
    <xf numFmtId="0" fontId="12" fillId="6" borderId="5" applyAlignment="1" applyProtection="1" pivotButton="0" quotePrefix="0" xfId="2">
      <alignment horizontal="center" vertical="center"/>
      <protection locked="0" hidden="0"/>
    </xf>
    <xf numFmtId="0" fontId="33" fillId="0" borderId="10" applyAlignment="1" pivotButton="0" quotePrefix="0" xfId="11">
      <alignment horizontal="center"/>
    </xf>
    <xf numFmtId="0" fontId="33" fillId="0" borderId="20" applyAlignment="1" pivotButton="0" quotePrefix="0" xfId="11">
      <alignment horizontal="center"/>
    </xf>
    <xf numFmtId="0" fontId="33" fillId="0" borderId="11" applyAlignment="1" pivotButton="0" quotePrefix="0" xfId="11">
      <alignment horizontal="center"/>
    </xf>
    <xf numFmtId="0" fontId="32" fillId="0" borderId="43" applyAlignment="1" pivotButton="0" quotePrefix="0" xfId="11">
      <alignment horizontal="right"/>
    </xf>
    <xf numFmtId="0" fontId="32" fillId="0" borderId="44" applyAlignment="1" pivotButton="0" quotePrefix="0" xfId="11">
      <alignment horizontal="right"/>
    </xf>
    <xf numFmtId="0" fontId="34" fillId="0" borderId="0" applyAlignment="1" pivotButton="0" quotePrefix="0" xfId="0">
      <alignment horizontal="left"/>
    </xf>
    <xf numFmtId="49" fontId="33" fillId="0" borderId="0" applyAlignment="1" pivotButton="0" quotePrefix="0" xfId="11">
      <alignment horizontal="left"/>
    </xf>
    <xf numFmtId="0" fontId="33" fillId="0" borderId="0" pivotButton="0" quotePrefix="0" xfId="11"/>
    <xf numFmtId="0" fontId="32" fillId="0" borderId="37" applyAlignment="1" pivotButton="0" quotePrefix="0" xfId="11">
      <alignment horizontal="center" vertical="center"/>
    </xf>
    <xf numFmtId="0" fontId="32" fillId="0" borderId="45" applyAlignment="1" pivotButton="0" quotePrefix="0" xfId="11">
      <alignment horizontal="center" vertical="center"/>
    </xf>
    <xf numFmtId="0" fontId="32" fillId="0" borderId="46" applyAlignment="1" pivotButton="0" quotePrefix="0" xfId="11">
      <alignment horizontal="center" vertical="center"/>
    </xf>
    <xf numFmtId="0" fontId="33" fillId="0" borderId="0" applyAlignment="1" pivotButton="0" quotePrefix="0" xfId="11">
      <alignment horizontal="right"/>
    </xf>
    <xf numFmtId="0" fontId="32" fillId="0" borderId="0" applyAlignment="1" pivotButton="0" quotePrefix="0" xfId="11">
      <alignment horizontal="center"/>
    </xf>
    <xf numFmtId="0" fontId="32" fillId="0" borderId="36" applyAlignment="1" pivotButton="0" quotePrefix="0" xfId="11">
      <alignment horizontal="center" vertical="center"/>
    </xf>
    <xf numFmtId="0" fontId="32" fillId="0" borderId="38" applyAlignment="1" pivotButton="0" quotePrefix="0" xfId="11">
      <alignment horizontal="center" vertical="center"/>
    </xf>
    <xf numFmtId="0" fontId="33" fillId="0" borderId="2" applyAlignment="1" pivotButton="0" quotePrefix="0" xfId="11">
      <alignment horizontal="center"/>
    </xf>
    <xf numFmtId="0" fontId="33" fillId="0" borderId="8" applyAlignment="1" pivotButton="0" quotePrefix="0" xfId="11">
      <alignment horizontal="center"/>
    </xf>
    <xf numFmtId="0" fontId="33" fillId="0" borderId="3" applyAlignment="1" pivotButton="0" quotePrefix="0" xfId="11">
      <alignment horizontal="center"/>
    </xf>
    <xf numFmtId="0" fontId="33" fillId="0" borderId="28" applyAlignment="1" pivotButton="0" quotePrefix="0" xfId="11">
      <alignment horizontal="left" vertical="top" wrapText="1"/>
    </xf>
    <xf numFmtId="0" fontId="33" fillId="0" borderId="34" applyAlignment="1" pivotButton="0" quotePrefix="0" xfId="11">
      <alignment horizontal="left" vertical="top" wrapText="1"/>
    </xf>
    <xf numFmtId="0" fontId="33" fillId="0" borderId="15" applyAlignment="1" pivotButton="0" quotePrefix="0" xfId="11">
      <alignment horizontal="left" vertical="top" wrapText="1"/>
    </xf>
    <xf numFmtId="0" fontId="33" fillId="0" borderId="26" applyAlignment="1" pivotButton="0" quotePrefix="0" xfId="11">
      <alignment horizontal="left" vertical="top" wrapText="1"/>
    </xf>
    <xf numFmtId="0" fontId="33" fillId="0" borderId="16" applyAlignment="1" pivotButton="0" quotePrefix="0" xfId="11">
      <alignment horizontal="left" vertical="top" wrapText="1"/>
    </xf>
    <xf numFmtId="0" fontId="33" fillId="0" borderId="7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33" fillId="0" borderId="13" applyAlignment="1" pivotButton="0" quotePrefix="0" xfId="0">
      <alignment horizontal="left"/>
    </xf>
    <xf numFmtId="0" fontId="40" fillId="0" borderId="0" applyAlignment="1" pivotButton="0" quotePrefix="0" xfId="2">
      <alignment vertical="center"/>
    </xf>
    <xf numFmtId="0" fontId="40" fillId="0" borderId="0" applyAlignment="1" pivotButton="0" quotePrefix="0" xfId="2">
      <alignment horizontal="center" vertical="center"/>
    </xf>
    <xf numFmtId="0" fontId="40" fillId="0" borderId="0" applyAlignment="1" pivotButton="0" quotePrefix="0" xfId="2">
      <alignment horizontal="right" vertical="center"/>
    </xf>
    <xf numFmtId="0" fontId="7" fillId="0" borderId="0" pivotButton="0" quotePrefix="0" xfId="0"/>
    <xf numFmtId="0" fontId="41" fillId="0" borderId="0" applyAlignment="1" pivotButton="0" quotePrefix="0" xfId="2">
      <alignment vertical="center"/>
    </xf>
    <xf numFmtId="0" fontId="41" fillId="0" borderId="0" applyAlignment="1" pivotButton="0" quotePrefix="0" xfId="2">
      <alignment horizontal="center" vertical="center"/>
    </xf>
    <xf numFmtId="164" fontId="41" fillId="0" borderId="0" applyAlignment="1" pivotButton="0" quotePrefix="0" xfId="3">
      <alignment vertical="center"/>
    </xf>
    <xf numFmtId="0" fontId="40" fillId="0" borderId="0" applyAlignment="1" pivotButton="0" quotePrefix="0" xfId="2">
      <alignment horizontal="left" vertical="center"/>
    </xf>
    <xf numFmtId="164" fontId="40" fillId="0" borderId="0" applyAlignment="1" pivotButton="0" quotePrefix="0" xfId="3">
      <alignment horizontal="center" vertical="center"/>
    </xf>
    <xf numFmtId="173" fontId="40" fillId="0" borderId="0" applyAlignment="1" pivotButton="0" quotePrefix="0" xfId="3">
      <alignment vertical="center"/>
    </xf>
    <xf numFmtId="49" fontId="6" fillId="0" borderId="0" pivotButton="0" quotePrefix="0" xfId="0"/>
    <xf numFmtId="164" fontId="41" fillId="0" borderId="0" applyAlignment="1" pivotButton="0" quotePrefix="0" xfId="3">
      <alignment vertical="center"/>
    </xf>
    <xf numFmtId="49" fontId="6" fillId="0" borderId="19" pivotButton="0" quotePrefix="0" xfId="0"/>
    <xf numFmtId="0" fontId="6" fillId="0" borderId="1" applyAlignment="1" pivotButton="0" quotePrefix="0" xfId="0">
      <alignment horizont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42" fillId="0" borderId="14" applyAlignment="1" pivotButton="0" quotePrefix="0" xfId="0">
      <alignment horizontal="center"/>
    </xf>
    <xf numFmtId="0" fontId="42" fillId="0" borderId="15" pivotButton="0" quotePrefix="0" xfId="0"/>
    <xf numFmtId="0" fontId="42" fillId="0" borderId="16" pivotButton="0" quotePrefix="0" xfId="0"/>
    <xf numFmtId="164" fontId="7" fillId="0" borderId="17" pivotButton="0" quotePrefix="0" xfId="0"/>
    <xf numFmtId="164" fontId="7" fillId="0" borderId="14" pivotButton="0" quotePrefix="0" xfId="0"/>
    <xf numFmtId="0" fontId="7" fillId="0" borderId="14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6" fillId="0" borderId="15" pivotButton="0" quotePrefix="0" xfId="0"/>
    <xf numFmtId="9" fontId="7" fillId="0" borderId="0" pivotButton="0" quotePrefix="0" xfId="9"/>
    <xf numFmtId="164" fontId="7" fillId="0" borderId="0" pivotButton="0" quotePrefix="0" xfId="0"/>
    <xf numFmtId="0" fontId="7" fillId="0" borderId="5" applyAlignment="1" pivotButton="0" quotePrefix="0" xfId="0">
      <alignment horizontal="center"/>
    </xf>
    <xf numFmtId="164" fontId="7" fillId="0" borderId="18" pivotButton="0" quotePrefix="0" xfId="0"/>
    <xf numFmtId="0" fontId="7" fillId="0" borderId="18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164" fontId="6" fillId="0" borderId="9" pivotButton="0" quotePrefix="0" xfId="0"/>
    <xf numFmtId="164" fontId="7" fillId="4" borderId="0" applyAlignment="1" applyProtection="1" pivotButton="0" quotePrefix="0" xfId="13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164" fontId="7" fillId="0" borderId="0" applyAlignment="1" pivotButton="0" quotePrefix="0" xfId="13">
      <alignment horizontal="center"/>
    </xf>
    <xf numFmtId="164" fontId="7" fillId="0" borderId="0" pivotButton="0" quotePrefix="0" xfId="12"/>
    <xf numFmtId="164" fontId="7" fillId="0" borderId="0" applyAlignment="1" pivotButton="0" quotePrefix="0" xfId="14">
      <alignment horizontal="center"/>
    </xf>
    <xf numFmtId="165" fontId="7" fillId="4" borderId="0" applyAlignment="1" applyProtection="1" pivotButton="0" quotePrefix="0" xfId="13">
      <alignment horizontal="center"/>
      <protection locked="0" hidden="0"/>
    </xf>
    <xf numFmtId="165" fontId="6" fillId="0" borderId="0" applyAlignment="1" pivotButton="0" quotePrefix="0" xfId="12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165" fontId="6" fillId="0" borderId="0" applyAlignment="1" pivotButton="0" quotePrefix="0" xfId="12">
      <alignment horizontal="left"/>
    </xf>
    <xf numFmtId="166" fontId="6" fillId="0" borderId="0" applyAlignment="1" pivotButton="0" quotePrefix="0" xfId="12">
      <alignment horizontal="center"/>
    </xf>
    <xf numFmtId="166" fontId="6" fillId="0" borderId="0" pivotButton="0" quotePrefix="0" xfId="12"/>
    <xf numFmtId="165" fontId="10" fillId="0" borderId="56" applyAlignment="1" pivotButton="0" quotePrefix="0" xfId="13">
      <alignment horizontal="center"/>
    </xf>
    <xf numFmtId="0" fontId="0" fillId="0" borderId="22" pivotButton="0" quotePrefix="0" xfId="0"/>
    <xf numFmtId="0" fontId="0" fillId="0" borderId="23" pivotButton="0" quotePrefix="0" xfId="0"/>
    <xf numFmtId="167" fontId="7" fillId="0" borderId="0" pivotButton="0" quotePrefix="0" xfId="12"/>
    <xf numFmtId="165" fontId="7" fillId="0" borderId="0" pivotButton="0" quotePrefix="0" xfId="12"/>
    <xf numFmtId="164" fontId="41" fillId="0" borderId="0" applyAlignment="1" pivotButton="0" quotePrefix="0" xfId="3">
      <alignment vertical="center"/>
    </xf>
    <xf numFmtId="164" fontId="40" fillId="0" borderId="0" applyAlignment="1" pivotButton="0" quotePrefix="0" xfId="3">
      <alignment horizontal="center" vertical="center"/>
    </xf>
    <xf numFmtId="173" fontId="40" fillId="0" borderId="0" applyAlignment="1" pivotButton="0" quotePrefix="0" xfId="3">
      <alignment vertical="center"/>
    </xf>
    <xf numFmtId="0" fontId="6" fillId="0" borderId="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4" pivotButton="0" quotePrefix="0" xfId="0"/>
    <xf numFmtId="164" fontId="7" fillId="0" borderId="17" pivotButton="0" quotePrefix="0" xfId="0"/>
    <xf numFmtId="164" fontId="7" fillId="0" borderId="14" pivotButton="0" quotePrefix="0" xfId="0"/>
    <xf numFmtId="164" fontId="7" fillId="0" borderId="0" pivotButton="0" quotePrefix="0" xfId="0"/>
    <xf numFmtId="164" fontId="7" fillId="0" borderId="18" pivotButton="0" quotePrefix="0" xfId="0"/>
    <xf numFmtId="0" fontId="6" fillId="0" borderId="9" applyAlignment="1" pivotButton="0" quotePrefix="0" xfId="0">
      <alignment horizontal="center"/>
    </xf>
    <xf numFmtId="0" fontId="0" fillId="0" borderId="3" pivotButton="0" quotePrefix="0" xfId="0"/>
    <xf numFmtId="164" fontId="6" fillId="0" borderId="9" pivotButton="0" quotePrefix="0" xfId="0"/>
    <xf numFmtId="164" fontId="16" fillId="0" borderId="0" applyAlignment="1" pivotButton="0" quotePrefix="0" xfId="1">
      <alignment horizontal="center" vertical="center"/>
    </xf>
    <xf numFmtId="164" fontId="16" fillId="0" borderId="0" applyAlignment="1" pivotButton="0" quotePrefix="0" xfId="1">
      <alignment vertical="center"/>
    </xf>
    <xf numFmtId="164" fontId="15" fillId="0" borderId="0" applyAlignment="1" pivotButton="0" quotePrefix="0" xfId="3">
      <alignment vertical="center"/>
    </xf>
    <xf numFmtId="0" fontId="12" fillId="2" borderId="9" applyAlignment="1" pivotButton="0" quotePrefix="0" xfId="4">
      <alignment horizontal="center" vertical="center"/>
    </xf>
    <xf numFmtId="164" fontId="12" fillId="2" borderId="9" applyAlignment="1" pivotButton="0" quotePrefix="0" xfId="1">
      <alignment horizontal="center" vertical="center"/>
    </xf>
    <xf numFmtId="164" fontId="12" fillId="0" borderId="1" applyAlignment="1" pivotButton="0" quotePrefix="0" xfId="6">
      <alignment vertical="center"/>
    </xf>
    <xf numFmtId="169" fontId="16" fillId="0" borderId="1" applyAlignment="1" pivotButton="0" quotePrefix="0" xfId="0">
      <alignment horizontal="center" vertical="center"/>
    </xf>
    <xf numFmtId="164" fontId="16" fillId="0" borderId="1" applyAlignment="1" pivotButton="0" quotePrefix="0" xfId="6">
      <alignment horizontal="center" vertical="center"/>
    </xf>
    <xf numFmtId="169" fontId="16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164" fontId="16" fillId="0" borderId="0" applyAlignment="1" pivotButton="0" quotePrefix="0" xfId="0">
      <alignment horizontal="center" vertical="center"/>
    </xf>
    <xf numFmtId="164" fontId="12" fillId="0" borderId="25" applyAlignment="1" pivotButton="0" quotePrefix="0" xfId="6">
      <alignment vertical="center"/>
    </xf>
    <xf numFmtId="169" fontId="16" fillId="0" borderId="25" applyAlignment="1" pivotButton="0" quotePrefix="0" xfId="0">
      <alignment horizontal="center" vertical="center"/>
    </xf>
    <xf numFmtId="164" fontId="16" fillId="0" borderId="25" applyAlignment="1" pivotButton="0" quotePrefix="0" xfId="6">
      <alignment horizontal="center" vertical="center"/>
    </xf>
    <xf numFmtId="169" fontId="16" fillId="0" borderId="25" applyAlignment="1" pivotButton="0" quotePrefix="0" xfId="0">
      <alignment vertical="center"/>
    </xf>
    <xf numFmtId="164" fontId="16" fillId="0" borderId="25" applyAlignment="1" pivotButton="0" quotePrefix="0" xfId="6">
      <alignment vertical="center"/>
    </xf>
    <xf numFmtId="164" fontId="16" fillId="0" borderId="4" applyAlignment="1" pivotButton="0" quotePrefix="0" xfId="6">
      <alignment vertical="center"/>
    </xf>
    <xf numFmtId="169" fontId="16" fillId="0" borderId="4" applyAlignment="1" pivotButton="0" quotePrefix="0" xfId="0">
      <alignment horizontal="center" vertical="center"/>
    </xf>
    <xf numFmtId="164" fontId="16" fillId="0" borderId="4" applyAlignment="1" pivotButton="0" quotePrefix="0" xfId="6">
      <alignment horizontal="center" vertical="center"/>
    </xf>
    <xf numFmtId="169" fontId="16" fillId="0" borderId="4" applyAlignment="1" pivotButton="0" quotePrefix="0" xfId="0">
      <alignment vertical="center"/>
    </xf>
    <xf numFmtId="0" fontId="0" fillId="0" borderId="8" pivotButton="0" quotePrefix="0" xfId="0"/>
    <xf numFmtId="169" fontId="16" fillId="6" borderId="25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43" fontId="19" fillId="0" borderId="0" pivotButton="0" quotePrefix="0" xfId="15"/>
    <xf numFmtId="169" fontId="12" fillId="0" borderId="1" applyAlignment="1" pivotButton="0" quotePrefix="0" xfId="0">
      <alignment vertical="center"/>
    </xf>
    <xf numFmtId="164" fontId="16" fillId="0" borderId="25" applyAlignment="1" pivotButton="0" quotePrefix="0" xfId="6">
      <alignment vertical="center" wrapText="1"/>
    </xf>
    <xf numFmtId="43" fontId="16" fillId="0" borderId="0" applyAlignment="1" pivotButton="0" quotePrefix="0" xfId="0">
      <alignment horizontal="center" vertical="center"/>
    </xf>
    <xf numFmtId="169" fontId="12" fillId="0" borderId="7" applyAlignment="1" pivotButton="0" quotePrefix="0" xfId="0">
      <alignment vertical="center"/>
    </xf>
    <xf numFmtId="164" fontId="16" fillId="0" borderId="18" applyAlignment="1" pivotButton="0" quotePrefix="0" xfId="6">
      <alignment vertical="center"/>
    </xf>
    <xf numFmtId="169" fontId="16" fillId="0" borderId="18" applyAlignment="1" pivotButton="0" quotePrefix="0" xfId="0">
      <alignment horizontal="center" vertical="center"/>
    </xf>
    <xf numFmtId="169" fontId="16" fillId="0" borderId="18" applyAlignment="1" pivotButton="0" quotePrefix="0" xfId="0">
      <alignment vertical="center"/>
    </xf>
    <xf numFmtId="164" fontId="16" fillId="0" borderId="18" applyAlignment="1" pivotButton="0" quotePrefix="0" xfId="6">
      <alignment horizontal="center" vertical="center"/>
    </xf>
    <xf numFmtId="164" fontId="12" fillId="0" borderId="18" applyAlignment="1" pivotButton="0" quotePrefix="0" xfId="6">
      <alignment vertical="center"/>
    </xf>
    <xf numFmtId="164" fontId="12" fillId="0" borderId="17" applyAlignment="1" pivotButton="0" quotePrefix="0" xfId="6">
      <alignment vertical="center"/>
    </xf>
    <xf numFmtId="169" fontId="16" fillId="0" borderId="17" applyAlignment="1" pivotButton="0" quotePrefix="0" xfId="0">
      <alignment horizontal="center" vertical="center"/>
    </xf>
    <xf numFmtId="164" fontId="16" fillId="0" borderId="17" applyAlignment="1" pivotButton="0" quotePrefix="0" xfId="6">
      <alignment horizontal="center" vertical="center"/>
    </xf>
    <xf numFmtId="169" fontId="16" fillId="0" borderId="17" applyAlignment="1" pivotButton="0" quotePrefix="0" xfId="0">
      <alignment vertical="center"/>
    </xf>
    <xf numFmtId="164" fontId="16" fillId="6" borderId="25" applyAlignment="1" pivotButton="0" quotePrefix="0" xfId="6">
      <alignment vertical="center"/>
    </xf>
    <xf numFmtId="169" fontId="16" fillId="6" borderId="25" applyAlignment="1" pivotButton="0" quotePrefix="0" xfId="0">
      <alignment horizontal="center" vertical="center"/>
    </xf>
    <xf numFmtId="169" fontId="12" fillId="0" borderId="25" applyAlignment="1" pivotButton="0" quotePrefix="0" xfId="0">
      <alignment vertical="center"/>
    </xf>
    <xf numFmtId="164" fontId="12" fillId="6" borderId="25" applyAlignment="1" pivotButton="0" quotePrefix="0" xfId="6">
      <alignment vertical="center"/>
    </xf>
    <xf numFmtId="170" fontId="12" fillId="6" borderId="25" pivotButton="0" quotePrefix="0" xfId="21"/>
    <xf numFmtId="164" fontId="12" fillId="6" borderId="25" applyAlignment="1" pivotButton="0" quotePrefix="0" xfId="21">
      <alignment horizontal="center"/>
    </xf>
    <xf numFmtId="164" fontId="16" fillId="5" borderId="0" applyAlignment="1" pivotButton="0" quotePrefix="0" xfId="21">
      <alignment horizontal="right" vertical="center"/>
    </xf>
    <xf numFmtId="170" fontId="16" fillId="0" borderId="25" pivotButton="0" quotePrefix="0" xfId="21"/>
    <xf numFmtId="164" fontId="16" fillId="0" borderId="25" applyAlignment="1" pivotButton="0" quotePrefix="0" xfId="21">
      <alignment horizontal="center"/>
    </xf>
    <xf numFmtId="164" fontId="16" fillId="0" borderId="0" applyAlignment="1" pivotButton="0" quotePrefix="0" xfId="21">
      <alignment horizontal="right" vertical="center"/>
    </xf>
    <xf numFmtId="170" fontId="12" fillId="6" borderId="17" pivotButton="0" quotePrefix="0" xfId="20"/>
    <xf numFmtId="164" fontId="12" fillId="6" borderId="17" pivotButton="0" quotePrefix="0" xfId="20"/>
    <xf numFmtId="164" fontId="16" fillId="5" borderId="0" applyAlignment="1" pivotButton="0" quotePrefix="1" xfId="20">
      <alignment horizontal="center"/>
    </xf>
    <xf numFmtId="170" fontId="16" fillId="0" borderId="25" pivotButton="0" quotePrefix="0" xfId="20"/>
    <xf numFmtId="164" fontId="16" fillId="0" borderId="25" pivotButton="0" quotePrefix="0" xfId="20"/>
    <xf numFmtId="164" fontId="16" fillId="0" borderId="0" applyAlignment="1" pivotButton="0" quotePrefix="1" xfId="20">
      <alignment horizontal="center"/>
    </xf>
    <xf numFmtId="170" fontId="16" fillId="0" borderId="18" pivotButton="0" quotePrefix="0" xfId="20"/>
    <xf numFmtId="164" fontId="16" fillId="0" borderId="18" pivotButton="0" quotePrefix="0" xfId="20"/>
    <xf numFmtId="170" fontId="12" fillId="0" borderId="18" pivotButton="0" quotePrefix="0" xfId="20"/>
    <xf numFmtId="164" fontId="12" fillId="0" borderId="18" pivotButton="0" quotePrefix="0" xfId="20"/>
    <xf numFmtId="169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6">
      <alignment horizontal="center" vertical="center"/>
    </xf>
    <xf numFmtId="169" fontId="12" fillId="0" borderId="25" applyAlignment="1" pivotButton="0" quotePrefix="0" xfId="0">
      <alignment horizontal="center" vertical="center"/>
    </xf>
    <xf numFmtId="164" fontId="12" fillId="0" borderId="25" applyAlignment="1" pivotButton="0" quotePrefix="0" xfId="6">
      <alignment horizontal="center" vertical="center"/>
    </xf>
    <xf numFmtId="164" fontId="16" fillId="6" borderId="25" applyAlignment="1" pivotButton="0" quotePrefix="0" xfId="6">
      <alignment horizontal="center" vertical="center"/>
    </xf>
    <xf numFmtId="164" fontId="16" fillId="0" borderId="0" applyAlignment="1" pivotButton="0" quotePrefix="0" xfId="1">
      <alignment horizontal="right" vertical="center"/>
    </xf>
    <xf numFmtId="164" fontId="16" fillId="2" borderId="0" applyAlignment="1" pivotButton="0" quotePrefix="0" xfId="0">
      <alignment vertical="center"/>
    </xf>
    <xf numFmtId="164" fontId="16" fillId="2" borderId="0" applyAlignment="1" pivotButton="0" quotePrefix="0" xfId="0">
      <alignment horizontal="center" vertical="center"/>
    </xf>
    <xf numFmtId="164" fontId="16" fillId="0" borderId="0" applyAlignment="1" pivotButton="0" quotePrefix="0" xfId="1">
      <alignment horizontal="left" vertical="center"/>
    </xf>
    <xf numFmtId="43" fontId="16" fillId="0" borderId="0" applyAlignment="1" pivotButton="0" quotePrefix="0" xfId="8">
      <alignment horizontal="center" vertical="center"/>
    </xf>
    <xf numFmtId="43" fontId="16" fillId="0" borderId="0" applyAlignment="1" pivotButton="0" quotePrefix="0" xfId="8">
      <alignment horizontal="right" vertical="center"/>
    </xf>
    <xf numFmtId="164" fontId="16" fillId="5" borderId="0" applyAlignment="1" pivotButton="0" quotePrefix="0" xfId="1">
      <alignment vertical="center"/>
    </xf>
    <xf numFmtId="0" fontId="0" fillId="0" borderId="5" pivotButton="0" quotePrefix="0" xfId="0"/>
    <xf numFmtId="0" fontId="0" fillId="0" borderId="7" pivotButton="0" quotePrefix="0" xfId="0"/>
    <xf numFmtId="43" fontId="16" fillId="0" borderId="14" applyAlignment="1" pivotButton="0" quotePrefix="0" xfId="28">
      <alignment vertical="center"/>
    </xf>
    <xf numFmtId="43" fontId="16" fillId="0" borderId="24" applyAlignment="1" pivotButton="0" quotePrefix="0" xfId="2">
      <alignment horizontal="right" vertical="center"/>
    </xf>
    <xf numFmtId="43" fontId="16" fillId="0" borderId="14" applyAlignment="1" pivotButton="0" quotePrefix="0" xfId="2">
      <alignment horizontal="center" vertical="center"/>
    </xf>
    <xf numFmtId="43" fontId="16" fillId="0" borderId="24" applyAlignment="1" pivotButton="0" quotePrefix="0" xfId="2">
      <alignment horizontal="center" vertical="center"/>
    </xf>
    <xf numFmtId="43" fontId="16" fillId="0" borderId="14" applyAlignment="1" pivotButton="0" quotePrefix="0" xfId="2">
      <alignment horizontal="right" vertical="center"/>
    </xf>
    <xf numFmtId="164" fontId="16" fillId="6" borderId="18" applyAlignment="1" pivotButton="0" quotePrefix="0" xfId="1">
      <alignment horizontal="center" vertical="center"/>
    </xf>
    <xf numFmtId="43" fontId="16" fillId="0" borderId="0" applyAlignment="1" pivotButton="0" quotePrefix="0" xfId="27">
      <alignment vertical="top"/>
    </xf>
    <xf numFmtId="164" fontId="16" fillId="0" borderId="18" applyAlignment="1" pivotButton="0" quotePrefix="0" xfId="1">
      <alignment horizontal="center" vertical="center"/>
    </xf>
    <xf numFmtId="0" fontId="0" fillId="0" borderId="16" pivotButton="0" quotePrefix="0" xfId="0"/>
    <xf numFmtId="164" fontId="16" fillId="0" borderId="25" applyAlignment="1" pivotButton="0" quotePrefix="0" xfId="1">
      <alignment horizontal="center" vertical="center"/>
    </xf>
    <xf numFmtId="164" fontId="16" fillId="0" borderId="18" applyAlignment="1" pivotButton="0" quotePrefix="0" xfId="29">
      <alignment horizontal="center" vertical="center"/>
    </xf>
    <xf numFmtId="164" fontId="16" fillId="0" borderId="28" applyAlignment="1" pivotButton="0" quotePrefix="0" xfId="29">
      <alignment horizontal="center" vertical="center"/>
    </xf>
    <xf numFmtId="164" fontId="16" fillId="0" borderId="26" applyAlignment="1" pivotButton="0" quotePrefix="0" xfId="26">
      <alignment vertical="top"/>
    </xf>
    <xf numFmtId="43" fontId="12" fillId="0" borderId="18" applyAlignment="1" pivotButton="0" quotePrefix="0" xfId="2">
      <alignment horizontal="center" vertical="center"/>
    </xf>
    <xf numFmtId="164" fontId="16" fillId="0" borderId="25" applyAlignment="1" pivotButton="0" quotePrefix="0" xfId="26">
      <alignment vertical="top"/>
    </xf>
    <xf numFmtId="164" fontId="12" fillId="0" borderId="29" applyAlignment="1" pivotButton="0" quotePrefix="0" xfId="29">
      <alignment horizontal="center" vertical="center"/>
    </xf>
    <xf numFmtId="164" fontId="12" fillId="0" borderId="27" applyAlignment="1" pivotButton="0" quotePrefix="0" xfId="29">
      <alignment horizontal="center" vertical="center"/>
    </xf>
    <xf numFmtId="43" fontId="12" fillId="0" borderId="27" applyAlignment="1" pivotButton="0" quotePrefix="0" xfId="2">
      <alignment horizontal="center" vertical="center"/>
    </xf>
    <xf numFmtId="43" fontId="12" fillId="6" borderId="9" applyAlignment="1" pivotButton="0" quotePrefix="0" xfId="28">
      <alignment horizontal="right" vertical="center"/>
    </xf>
    <xf numFmtId="43" fontId="12" fillId="3" borderId="9" applyAlignment="1" pivotButton="0" quotePrefix="0" xfId="28">
      <alignment horizontal="right" vertical="center"/>
    </xf>
    <xf numFmtId="43" fontId="16" fillId="0" borderId="0" applyAlignment="1" pivotButton="0" quotePrefix="0" xfId="28">
      <alignment vertical="center"/>
    </xf>
    <xf numFmtId="43" fontId="15" fillId="0" borderId="0" applyAlignment="1" pivotButton="0" quotePrefix="0" xfId="2">
      <alignment vertical="center"/>
    </xf>
    <xf numFmtId="164" fontId="16" fillId="0" borderId="0" applyAlignment="1" pivotButton="0" quotePrefix="0" xfId="6">
      <alignment horizontal="center" vertical="center"/>
    </xf>
    <xf numFmtId="164" fontId="16" fillId="0" borderId="0" applyAlignment="1" pivotButton="0" quotePrefix="0" xfId="6">
      <alignment vertical="center"/>
    </xf>
    <xf numFmtId="164" fontId="16" fillId="0" borderId="0" applyAlignment="1" pivotButton="0" quotePrefix="0" xfId="2">
      <alignment vertical="center"/>
    </xf>
    <xf numFmtId="168" fontId="16" fillId="0" borderId="0" applyAlignment="1" pivotButton="0" quotePrefix="0" xfId="7">
      <alignment vertical="center"/>
    </xf>
    <xf numFmtId="168" fontId="16" fillId="0" borderId="0" applyAlignment="1" pivotButton="0" quotePrefix="0" xfId="7">
      <alignment horizontal="right" vertical="center"/>
    </xf>
    <xf numFmtId="164" fontId="16" fillId="0" borderId="0" applyAlignment="1" pivotButton="0" quotePrefix="0" xfId="6">
      <alignment horizontal="right" vertical="center"/>
    </xf>
    <xf numFmtId="0" fontId="12" fillId="0" borderId="9" applyAlignment="1" pivotButton="0" quotePrefix="0" xfId="0">
      <alignment horizontal="center" vertical="center"/>
    </xf>
    <xf numFmtId="164" fontId="16" fillId="0" borderId="25" applyAlignment="1" pivotButton="0" quotePrefix="0" xfId="10">
      <alignment horizontal="center"/>
    </xf>
    <xf numFmtId="171" fontId="16" fillId="0" borderId="25" pivotButton="0" quotePrefix="0" xfId="10"/>
    <xf numFmtId="164" fontId="16" fillId="0" borderId="25" pivotButton="0" quotePrefix="0" xfId="10"/>
    <xf numFmtId="164" fontId="16" fillId="0" borderId="0" pivotButton="0" quotePrefix="0" xfId="0"/>
    <xf numFmtId="164" fontId="25" fillId="0" borderId="0" pivotButton="0" quotePrefix="0" xfId="0"/>
    <xf numFmtId="164" fontId="25" fillId="0" borderId="25" applyAlignment="1" pivotButton="0" quotePrefix="0" xfId="10">
      <alignment horizontal="center"/>
    </xf>
    <xf numFmtId="171" fontId="25" fillId="0" borderId="25" pivotButton="0" quotePrefix="0" xfId="10"/>
    <xf numFmtId="164" fontId="25" fillId="0" borderId="47" applyAlignment="1" pivotButton="0" quotePrefix="0" xfId="10">
      <alignment horizontal="center"/>
    </xf>
    <xf numFmtId="171" fontId="25" fillId="0" borderId="47" pivotButton="0" quotePrefix="0" xfId="10"/>
    <xf numFmtId="164" fontId="16" fillId="0" borderId="4" pivotButton="0" quotePrefix="0" xfId="10"/>
    <xf numFmtId="164" fontId="16" fillId="0" borderId="35" pivotButton="0" quotePrefix="0" xfId="10"/>
    <xf numFmtId="0" fontId="0" fillId="0" borderId="13" applyProtection="1" pivotButton="0" quotePrefix="0" xfId="0">
      <protection locked="0" hidden="0"/>
    </xf>
    <xf numFmtId="0" fontId="12" fillId="6" borderId="50" applyAlignment="1" applyProtection="1" pivotButton="0" quotePrefix="0" xfId="2">
      <alignment horizontal="center" vertical="center"/>
      <protection locked="0" hidden="0"/>
    </xf>
    <xf numFmtId="0" fontId="0" fillId="0" borderId="51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43" fontId="15" fillId="0" borderId="17" applyAlignment="1" applyProtection="1" pivotButton="0" quotePrefix="0" xfId="23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5" fillId="0" borderId="17" applyAlignment="1" applyProtection="1" pivotButton="0" quotePrefix="1" xfId="1">
      <alignment horizontal="center" vertical="center"/>
      <protection locked="0" hidden="0"/>
    </xf>
    <xf numFmtId="164" fontId="15" fillId="0" borderId="25" applyAlignment="1" applyProtection="1" pivotButton="0" quotePrefix="0" xfId="6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43" fontId="15" fillId="0" borderId="25" applyAlignment="1" applyProtection="1" pivotButton="0" quotePrefix="0" xfId="23">
      <alignment horizontal="center" vertical="center"/>
      <protection locked="0" hidden="0"/>
    </xf>
    <xf numFmtId="0" fontId="0" fillId="0" borderId="26" applyProtection="1" pivotButton="0" quotePrefix="0" xfId="0">
      <protection locked="0" hidden="0"/>
    </xf>
    <xf numFmtId="43" fontId="15" fillId="0" borderId="25" applyAlignment="1" applyProtection="1" pivotButton="0" quotePrefix="0" xfId="2">
      <alignment horizontal="center" vertical="center"/>
      <protection locked="0" hidden="0"/>
    </xf>
    <xf numFmtId="164" fontId="15" fillId="0" borderId="25" applyAlignment="1" applyProtection="1" pivotButton="0" quotePrefix="0" xfId="2">
      <alignment vertical="center"/>
      <protection locked="0" hidden="0"/>
    </xf>
    <xf numFmtId="164" fontId="15" fillId="0" borderId="25" applyAlignment="1" applyProtection="1" pivotButton="0" quotePrefix="0" xfId="1">
      <alignment vertical="center"/>
      <protection locked="0" hidden="0"/>
    </xf>
    <xf numFmtId="43" fontId="15" fillId="0" borderId="25" applyAlignment="1" applyProtection="1" pivotButton="0" quotePrefix="0" xfId="2">
      <alignment vertical="center"/>
      <protection locked="0" hidden="0"/>
    </xf>
    <xf numFmtId="0" fontId="0" fillId="0" borderId="59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43" fontId="15" fillId="0" borderId="47" applyAlignment="1" applyProtection="1" pivotButton="0" quotePrefix="0" xfId="2">
      <alignment horizontal="center" vertical="center"/>
      <protection locked="0" hidden="0"/>
    </xf>
    <xf numFmtId="0" fontId="0" fillId="0" borderId="42" pivotButton="0" quotePrefix="0" xfId="0"/>
    <xf numFmtId="164" fontId="16" fillId="0" borderId="55" applyAlignment="1" pivotButton="0" quotePrefix="0" xfId="0">
      <alignment horizontal="center"/>
    </xf>
    <xf numFmtId="0" fontId="0" fillId="0" borderId="61" pivotButton="0" quotePrefix="0" xfId="0"/>
    <xf numFmtId="0" fontId="0" fillId="0" borderId="39" pivotButton="0" quotePrefix="0" xfId="0"/>
    <xf numFmtId="164" fontId="16" fillId="0" borderId="39" pivotButton="0" quotePrefix="0" xfId="10"/>
    <xf numFmtId="164" fontId="16" fillId="0" borderId="4" applyAlignment="1" pivotButton="0" quotePrefix="0" xfId="0">
      <alignment horizontal="center"/>
    </xf>
    <xf numFmtId="0" fontId="32" fillId="0" borderId="35" applyAlignment="1" pivotButton="0" quotePrefix="0" xfId="11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33" fillId="0" borderId="25" applyAlignment="1" pivotButton="0" quotePrefix="0" xfId="11">
      <alignment horizontal="left" vertical="top" wrapText="1"/>
    </xf>
    <xf numFmtId="0" fontId="0" fillId="0" borderId="26" pivotButton="0" quotePrefix="0" xfId="0"/>
    <xf numFmtId="164" fontId="32" fillId="0" borderId="25" applyAlignment="1" pivotButton="0" quotePrefix="0" xfId="11">
      <alignment horizontal="center"/>
    </xf>
    <xf numFmtId="0" fontId="0" fillId="0" borderId="28" pivotButton="0" quotePrefix="0" xfId="0"/>
    <xf numFmtId="0" fontId="0" fillId="0" borderId="34" pivotButton="0" quotePrefix="0" xfId="0"/>
    <xf numFmtId="164" fontId="32" fillId="0" borderId="18" applyAlignment="1" pivotButton="0" quotePrefix="0" xfId="1">
      <alignment horizontal="center"/>
    </xf>
    <xf numFmtId="0" fontId="33" fillId="0" borderId="5" applyAlignment="1" pivotButton="0" quotePrefix="0" xfId="0">
      <alignment horizontal="left"/>
    </xf>
    <xf numFmtId="0" fontId="0" fillId="0" borderId="13" pivotButton="0" quotePrefix="0" xfId="0"/>
    <xf numFmtId="172" fontId="32" fillId="0" borderId="19" pivotButton="0" quotePrefix="0" xfId="11"/>
    <xf numFmtId="172" fontId="32" fillId="0" borderId="5" applyAlignment="1" pivotButton="0" quotePrefix="0" xfId="7">
      <alignment horizontal="center"/>
    </xf>
    <xf numFmtId="0" fontId="33" fillId="0" borderId="9" applyAlignment="1" pivotButton="0" quotePrefix="0" xfId="11">
      <alignment horizontal="center"/>
    </xf>
    <xf numFmtId="164" fontId="33" fillId="0" borderId="9" applyAlignment="1" pivotButton="0" quotePrefix="0" xfId="11">
      <alignment horizontal="center"/>
    </xf>
    <xf numFmtId="0" fontId="33" fillId="0" borderId="1" applyAlignment="1" pivotButton="0" quotePrefix="0" xfId="11">
      <alignment horizontal="center"/>
    </xf>
    <xf numFmtId="164" fontId="33" fillId="0" borderId="1" applyAlignment="1" pivotButton="0" quotePrefix="0" xfId="11">
      <alignment horizontal="center"/>
    </xf>
    <xf numFmtId="0" fontId="32" fillId="0" borderId="63" applyAlignment="1" pivotButton="0" quotePrefix="0" xfId="11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4" fontId="32" fillId="0" borderId="40" applyAlignment="1" pivotButton="0" quotePrefix="0" xfId="11">
      <alignment horizontal="center"/>
    </xf>
    <xf numFmtId="0" fontId="0" fillId="0" borderId="46" pivotButton="0" quotePrefix="0" xfId="0"/>
  </cellXfs>
  <cellStyles count="30">
    <cellStyle name="Normal" xfId="0" builtinId="0"/>
    <cellStyle name="Comma" xfId="1" builtinId="3"/>
    <cellStyle name="ปกติ 2" xfId="2"/>
    <cellStyle name="Comma 2" xfId="3"/>
    <cellStyle name="Normal_โครงสร้างเทคโน" xfId="4"/>
    <cellStyle name="ปกติ_ปมก.อาคารบังคับน้ำหนองเขียด" xfId="5"/>
    <cellStyle name="Comma 3 2" xfId="6"/>
    <cellStyle name="เครื่องหมายจุลภาค 3" xfId="7"/>
    <cellStyle name="เครื่องหมายจุลภาค 11" xfId="8"/>
    <cellStyle name="เปอร์เซ็นต์ 2" xfId="9"/>
    <cellStyle name="จุลภาค 2" xfId="10"/>
    <cellStyle name="ปกติ 4" xfId="11"/>
    <cellStyle name="Normal 5" xfId="12"/>
    <cellStyle name="Comma 6 2" xfId="13"/>
    <cellStyle name="Comma 3 2 2" xfId="14"/>
    <cellStyle name="Hyperlink" xfId="15" builtinId="8"/>
    <cellStyle name="ปกติ 3" xfId="16"/>
    <cellStyle name="ปกติ 14" xfId="17"/>
    <cellStyle name="Normal 2" xfId="18"/>
    <cellStyle name="ปกติ 4 2" xfId="19"/>
    <cellStyle name="เครื่องหมายจุลภาค 4" xfId="20"/>
    <cellStyle name="เครื่องหมายจุลภาค 2" xfId="21"/>
    <cellStyle name="จุลภาค 3" xfId="22"/>
    <cellStyle name="เครื่องหมายจุลภาค 6" xfId="23"/>
    <cellStyle name="Comma 2 2 2" xfId="24"/>
    <cellStyle name="Normal 4 2" xfId="25"/>
    <cellStyle name="Comma 2 3" xfId="26"/>
    <cellStyle name="ปกติ 3 2" xfId="27"/>
    <cellStyle name="เครื่องหมายจุลภาค 10" xfId="28"/>
    <cellStyle name="Comma 5 2" xfId="2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23</col>
      <colOff>571500</colOff>
      <row>19</row>
      <rowOff>187325</rowOff>
    </from>
    <to>
      <col>35</col>
      <colOff>167640</colOff>
      <row>29</row>
      <rowOff>263525</rowOff>
    </to>
    <pic>
      <nvPicPr>
        <cNvPr id="2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48925" y="5321300"/>
          <a:ext cx="6911340" cy="2762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21</col>
      <colOff>635000</colOff>
      <row>1</row>
      <rowOff>12700</rowOff>
    </from>
    <to>
      <col>32</col>
      <colOff>372492</colOff>
      <row>18</row>
      <rowOff>194009</rowOff>
    </to>
    <pic>
      <nvPicPr>
        <cNvPr id="3" name="รูปภาพ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455025" y="346075"/>
          <a:ext cx="7281292" cy="471520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&#3595;&#3656;&#3629;&#3617;&#3605;&#3638;&#3585;%20&#3618;&#3608;\sutin\11\BOQ%20&#3650;&#3588;&#3619;&#3591;&#3585;&#3634;&#3619;&#3611;&#3619;&#3633;&#3610;&#3611;&#3619;&#3640;&#3591;&#3629;&#3634;&#3588;&#3634;&#3619;&#3648;&#3619;&#3637;&#3618;&#3609;%20&#3618;&#3608;41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actor F"/>
      <sheetName val="ปร.4"/>
      <sheetName val="ปร.41"/>
      <sheetName val="2.ครุภัณฑ์"/>
      <sheetName val="ปร 5  (ครุภัณฑ์)"/>
      <sheetName val="ปร.5"/>
      <sheetName val="ปร.6"/>
      <sheetName val="แบบ ปร.4 งานทาสี "/>
      <sheetName val="ราคาพาณิชย์จังหวัด"/>
      <sheetName val="นน.เหล็ก"/>
    </sheetNames>
    <sheetDataSet>
      <sheetData sheetId="0"/>
      <sheetData sheetId="1"/>
      <sheetData sheetId="2">
        <row r="1">
          <cell r="A1" t="str">
            <v>รายการประมาณการ  โครงการปรับปรุงอาคารโยธา 4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"/>
  <sheetViews>
    <sheetView view="pageBreakPreview" topLeftCell="A22" zoomScale="115" zoomScaleNormal="100" zoomScaleSheetLayoutView="115" workbookViewId="0">
      <selection activeCell="N22" sqref="N22"/>
    </sheetView>
  </sheetViews>
  <sheetFormatPr baseColWidth="8" defaultRowHeight="21"/>
  <cols>
    <col width="13.5703125" customWidth="1" style="2" min="1" max="1"/>
    <col width="11" customWidth="1" style="2" min="2" max="2"/>
    <col width="3.28515625" customWidth="1" style="2" min="3" max="3"/>
    <col width="9.140625" customWidth="1" style="2" min="4" max="4"/>
    <col width="2.42578125" customWidth="1" style="2" min="5" max="5"/>
    <col width="3.28515625" customWidth="1" style="2" min="6" max="6"/>
    <col width="5" customWidth="1" style="2" min="7" max="7"/>
    <col width="4.42578125" customWidth="1" style="2" min="8" max="8"/>
    <col width="5" customWidth="1" style="2" min="9" max="9"/>
    <col width="3.28515625" customWidth="1" style="2" min="10" max="12"/>
    <col width="5" customWidth="1" style="2" min="13" max="13"/>
    <col width="3.28515625" customWidth="1" style="2" min="14" max="14"/>
    <col width="5" customWidth="1" style="2" min="15" max="15"/>
    <col width="3.28515625" customWidth="1" style="2" min="16" max="16"/>
    <col width="5.42578125" customWidth="1" style="2" min="17" max="17"/>
    <col width="2.42578125" customWidth="1" style="2" min="18" max="18"/>
    <col width="7.5703125" customWidth="1" style="2" min="19" max="19"/>
    <col width="9.140625" customWidth="1" style="2" min="20" max="21"/>
    <col width="21.7109375" customWidth="1" style="2" min="22" max="22"/>
    <col width="9.140625" customWidth="1" style="2" min="23" max="256"/>
    <col width="13.5703125" customWidth="1" style="2" min="257" max="257"/>
    <col width="11" customWidth="1" style="2" min="258" max="258"/>
    <col width="3.28515625" customWidth="1" style="2" min="259" max="259"/>
    <col width="9.140625" customWidth="1" style="2" min="260" max="260"/>
    <col width="2.42578125" customWidth="1" style="2" min="261" max="261"/>
    <col width="3.28515625" customWidth="1" style="2" min="262" max="262"/>
    <col width="5" customWidth="1" style="2" min="263" max="263"/>
    <col width="4.42578125" customWidth="1" style="2" min="264" max="264"/>
    <col width="5" customWidth="1" style="2" min="265" max="265"/>
    <col width="3.28515625" customWidth="1" style="2" min="266" max="268"/>
    <col width="5" customWidth="1" style="2" min="269" max="269"/>
    <col width="3.28515625" customWidth="1" style="2" min="270" max="270"/>
    <col width="5" customWidth="1" style="2" min="271" max="271"/>
    <col width="3.28515625" customWidth="1" style="2" min="272" max="273"/>
    <col width="2.42578125" customWidth="1" style="2" min="274" max="274"/>
    <col width="7.5703125" customWidth="1" style="2" min="275" max="275"/>
    <col width="9.140625" customWidth="1" style="2" min="276" max="277"/>
    <col width="21.7109375" customWidth="1" style="2" min="278" max="278"/>
    <col width="9.140625" customWidth="1" style="2" min="279" max="512"/>
    <col width="13.5703125" customWidth="1" style="2" min="513" max="513"/>
    <col width="11" customWidth="1" style="2" min="514" max="514"/>
    <col width="3.28515625" customWidth="1" style="2" min="515" max="515"/>
    <col width="9.140625" customWidth="1" style="2" min="516" max="516"/>
    <col width="2.42578125" customWidth="1" style="2" min="517" max="517"/>
    <col width="3.28515625" customWidth="1" style="2" min="518" max="518"/>
    <col width="5" customWidth="1" style="2" min="519" max="519"/>
    <col width="4.42578125" customWidth="1" style="2" min="520" max="520"/>
    <col width="5" customWidth="1" style="2" min="521" max="521"/>
    <col width="3.28515625" customWidth="1" style="2" min="522" max="524"/>
    <col width="5" customWidth="1" style="2" min="525" max="525"/>
    <col width="3.28515625" customWidth="1" style="2" min="526" max="526"/>
    <col width="5" customWidth="1" style="2" min="527" max="527"/>
    <col width="3.28515625" customWidth="1" style="2" min="528" max="529"/>
    <col width="2.42578125" customWidth="1" style="2" min="530" max="530"/>
    <col width="7.5703125" customWidth="1" style="2" min="531" max="531"/>
    <col width="9.140625" customWidth="1" style="2" min="532" max="533"/>
    <col width="21.7109375" customWidth="1" style="2" min="534" max="534"/>
    <col width="9.140625" customWidth="1" style="2" min="535" max="768"/>
    <col width="13.5703125" customWidth="1" style="2" min="769" max="769"/>
    <col width="11" customWidth="1" style="2" min="770" max="770"/>
    <col width="3.28515625" customWidth="1" style="2" min="771" max="771"/>
    <col width="9.140625" customWidth="1" style="2" min="772" max="772"/>
    <col width="2.42578125" customWidth="1" style="2" min="773" max="773"/>
    <col width="3.28515625" customWidth="1" style="2" min="774" max="774"/>
    <col width="5" customWidth="1" style="2" min="775" max="775"/>
    <col width="4.42578125" customWidth="1" style="2" min="776" max="776"/>
    <col width="5" customWidth="1" style="2" min="777" max="777"/>
    <col width="3.28515625" customWidth="1" style="2" min="778" max="780"/>
    <col width="5" customWidth="1" style="2" min="781" max="781"/>
    <col width="3.28515625" customWidth="1" style="2" min="782" max="782"/>
    <col width="5" customWidth="1" style="2" min="783" max="783"/>
    <col width="3.28515625" customWidth="1" style="2" min="784" max="785"/>
    <col width="2.42578125" customWidth="1" style="2" min="786" max="786"/>
    <col width="7.5703125" customWidth="1" style="2" min="787" max="787"/>
    <col width="9.140625" customWidth="1" style="2" min="788" max="789"/>
    <col width="21.7109375" customWidth="1" style="2" min="790" max="790"/>
    <col width="9.140625" customWidth="1" style="2" min="791" max="1024"/>
    <col width="13.5703125" customWidth="1" style="2" min="1025" max="1025"/>
    <col width="11" customWidth="1" style="2" min="1026" max="1026"/>
    <col width="3.28515625" customWidth="1" style="2" min="1027" max="1027"/>
    <col width="9.140625" customWidth="1" style="2" min="1028" max="1028"/>
    <col width="2.42578125" customWidth="1" style="2" min="1029" max="1029"/>
    <col width="3.28515625" customWidth="1" style="2" min="1030" max="1030"/>
    <col width="5" customWidth="1" style="2" min="1031" max="1031"/>
    <col width="4.42578125" customWidth="1" style="2" min="1032" max="1032"/>
    <col width="5" customWidth="1" style="2" min="1033" max="1033"/>
    <col width="3.28515625" customWidth="1" style="2" min="1034" max="1036"/>
    <col width="5" customWidth="1" style="2" min="1037" max="1037"/>
    <col width="3.28515625" customWidth="1" style="2" min="1038" max="1038"/>
    <col width="5" customWidth="1" style="2" min="1039" max="1039"/>
    <col width="3.28515625" customWidth="1" style="2" min="1040" max="1041"/>
    <col width="2.42578125" customWidth="1" style="2" min="1042" max="1042"/>
    <col width="7.5703125" customWidth="1" style="2" min="1043" max="1043"/>
    <col width="9.140625" customWidth="1" style="2" min="1044" max="1045"/>
    <col width="21.7109375" customWidth="1" style="2" min="1046" max="1046"/>
    <col width="9.140625" customWidth="1" style="2" min="1047" max="1280"/>
    <col width="13.5703125" customWidth="1" style="2" min="1281" max="1281"/>
    <col width="11" customWidth="1" style="2" min="1282" max="1282"/>
    <col width="3.28515625" customWidth="1" style="2" min="1283" max="1283"/>
    <col width="9.140625" customWidth="1" style="2" min="1284" max="1284"/>
    <col width="2.42578125" customWidth="1" style="2" min="1285" max="1285"/>
    <col width="3.28515625" customWidth="1" style="2" min="1286" max="1286"/>
    <col width="5" customWidth="1" style="2" min="1287" max="1287"/>
    <col width="4.42578125" customWidth="1" style="2" min="1288" max="1288"/>
    <col width="5" customWidth="1" style="2" min="1289" max="1289"/>
    <col width="3.28515625" customWidth="1" style="2" min="1290" max="1292"/>
    <col width="5" customWidth="1" style="2" min="1293" max="1293"/>
    <col width="3.28515625" customWidth="1" style="2" min="1294" max="1294"/>
    <col width="5" customWidth="1" style="2" min="1295" max="1295"/>
    <col width="3.28515625" customWidth="1" style="2" min="1296" max="1297"/>
    <col width="2.42578125" customWidth="1" style="2" min="1298" max="1298"/>
    <col width="7.5703125" customWidth="1" style="2" min="1299" max="1299"/>
    <col width="9.140625" customWidth="1" style="2" min="1300" max="1301"/>
    <col width="21.7109375" customWidth="1" style="2" min="1302" max="1302"/>
    <col width="9.140625" customWidth="1" style="2" min="1303" max="1536"/>
    <col width="13.5703125" customWidth="1" style="2" min="1537" max="1537"/>
    <col width="11" customWidth="1" style="2" min="1538" max="1538"/>
    <col width="3.28515625" customWidth="1" style="2" min="1539" max="1539"/>
    <col width="9.140625" customWidth="1" style="2" min="1540" max="1540"/>
    <col width="2.42578125" customWidth="1" style="2" min="1541" max="1541"/>
    <col width="3.28515625" customWidth="1" style="2" min="1542" max="1542"/>
    <col width="5" customWidth="1" style="2" min="1543" max="1543"/>
    <col width="4.42578125" customWidth="1" style="2" min="1544" max="1544"/>
    <col width="5" customWidth="1" style="2" min="1545" max="1545"/>
    <col width="3.28515625" customWidth="1" style="2" min="1546" max="1548"/>
    <col width="5" customWidth="1" style="2" min="1549" max="1549"/>
    <col width="3.28515625" customWidth="1" style="2" min="1550" max="1550"/>
    <col width="5" customWidth="1" style="2" min="1551" max="1551"/>
    <col width="3.28515625" customWidth="1" style="2" min="1552" max="1553"/>
    <col width="2.42578125" customWidth="1" style="2" min="1554" max="1554"/>
    <col width="7.5703125" customWidth="1" style="2" min="1555" max="1555"/>
    <col width="9.140625" customWidth="1" style="2" min="1556" max="1557"/>
    <col width="21.7109375" customWidth="1" style="2" min="1558" max="1558"/>
    <col width="9.140625" customWidth="1" style="2" min="1559" max="1792"/>
    <col width="13.5703125" customWidth="1" style="2" min="1793" max="1793"/>
    <col width="11" customWidth="1" style="2" min="1794" max="1794"/>
    <col width="3.28515625" customWidth="1" style="2" min="1795" max="1795"/>
    <col width="9.140625" customWidth="1" style="2" min="1796" max="1796"/>
    <col width="2.42578125" customWidth="1" style="2" min="1797" max="1797"/>
    <col width="3.28515625" customWidth="1" style="2" min="1798" max="1798"/>
    <col width="5" customWidth="1" style="2" min="1799" max="1799"/>
    <col width="4.42578125" customWidth="1" style="2" min="1800" max="1800"/>
    <col width="5" customWidth="1" style="2" min="1801" max="1801"/>
    <col width="3.28515625" customWidth="1" style="2" min="1802" max="1804"/>
    <col width="5" customWidth="1" style="2" min="1805" max="1805"/>
    <col width="3.28515625" customWidth="1" style="2" min="1806" max="1806"/>
    <col width="5" customWidth="1" style="2" min="1807" max="1807"/>
    <col width="3.28515625" customWidth="1" style="2" min="1808" max="1809"/>
    <col width="2.42578125" customWidth="1" style="2" min="1810" max="1810"/>
    <col width="7.5703125" customWidth="1" style="2" min="1811" max="1811"/>
    <col width="9.140625" customWidth="1" style="2" min="1812" max="1813"/>
    <col width="21.7109375" customWidth="1" style="2" min="1814" max="1814"/>
    <col width="9.140625" customWidth="1" style="2" min="1815" max="2048"/>
    <col width="13.5703125" customWidth="1" style="2" min="2049" max="2049"/>
    <col width="11" customWidth="1" style="2" min="2050" max="2050"/>
    <col width="3.28515625" customWidth="1" style="2" min="2051" max="2051"/>
    <col width="9.140625" customWidth="1" style="2" min="2052" max="2052"/>
    <col width="2.42578125" customWidth="1" style="2" min="2053" max="2053"/>
    <col width="3.28515625" customWidth="1" style="2" min="2054" max="2054"/>
    <col width="5" customWidth="1" style="2" min="2055" max="2055"/>
    <col width="4.42578125" customWidth="1" style="2" min="2056" max="2056"/>
    <col width="5" customWidth="1" style="2" min="2057" max="2057"/>
    <col width="3.28515625" customWidth="1" style="2" min="2058" max="2060"/>
    <col width="5" customWidth="1" style="2" min="2061" max="2061"/>
    <col width="3.28515625" customWidth="1" style="2" min="2062" max="2062"/>
    <col width="5" customWidth="1" style="2" min="2063" max="2063"/>
    <col width="3.28515625" customWidth="1" style="2" min="2064" max="2065"/>
    <col width="2.42578125" customWidth="1" style="2" min="2066" max="2066"/>
    <col width="7.5703125" customWidth="1" style="2" min="2067" max="2067"/>
    <col width="9.140625" customWidth="1" style="2" min="2068" max="2069"/>
    <col width="21.7109375" customWidth="1" style="2" min="2070" max="2070"/>
    <col width="9.140625" customWidth="1" style="2" min="2071" max="2304"/>
    <col width="13.5703125" customWidth="1" style="2" min="2305" max="2305"/>
    <col width="11" customWidth="1" style="2" min="2306" max="2306"/>
    <col width="3.28515625" customWidth="1" style="2" min="2307" max="2307"/>
    <col width="9.140625" customWidth="1" style="2" min="2308" max="2308"/>
    <col width="2.42578125" customWidth="1" style="2" min="2309" max="2309"/>
    <col width="3.28515625" customWidth="1" style="2" min="2310" max="2310"/>
    <col width="5" customWidth="1" style="2" min="2311" max="2311"/>
    <col width="4.42578125" customWidth="1" style="2" min="2312" max="2312"/>
    <col width="5" customWidth="1" style="2" min="2313" max="2313"/>
    <col width="3.28515625" customWidth="1" style="2" min="2314" max="2316"/>
    <col width="5" customWidth="1" style="2" min="2317" max="2317"/>
    <col width="3.28515625" customWidth="1" style="2" min="2318" max="2318"/>
    <col width="5" customWidth="1" style="2" min="2319" max="2319"/>
    <col width="3.28515625" customWidth="1" style="2" min="2320" max="2321"/>
    <col width="2.42578125" customWidth="1" style="2" min="2322" max="2322"/>
    <col width="7.5703125" customWidth="1" style="2" min="2323" max="2323"/>
    <col width="9.140625" customWidth="1" style="2" min="2324" max="2325"/>
    <col width="21.7109375" customWidth="1" style="2" min="2326" max="2326"/>
    <col width="9.140625" customWidth="1" style="2" min="2327" max="2560"/>
    <col width="13.5703125" customWidth="1" style="2" min="2561" max="2561"/>
    <col width="11" customWidth="1" style="2" min="2562" max="2562"/>
    <col width="3.28515625" customWidth="1" style="2" min="2563" max="2563"/>
    <col width="9.140625" customWidth="1" style="2" min="2564" max="2564"/>
    <col width="2.42578125" customWidth="1" style="2" min="2565" max="2565"/>
    <col width="3.28515625" customWidth="1" style="2" min="2566" max="2566"/>
    <col width="5" customWidth="1" style="2" min="2567" max="2567"/>
    <col width="4.42578125" customWidth="1" style="2" min="2568" max="2568"/>
    <col width="5" customWidth="1" style="2" min="2569" max="2569"/>
    <col width="3.28515625" customWidth="1" style="2" min="2570" max="2572"/>
    <col width="5" customWidth="1" style="2" min="2573" max="2573"/>
    <col width="3.28515625" customWidth="1" style="2" min="2574" max="2574"/>
    <col width="5" customWidth="1" style="2" min="2575" max="2575"/>
    <col width="3.28515625" customWidth="1" style="2" min="2576" max="2577"/>
    <col width="2.42578125" customWidth="1" style="2" min="2578" max="2578"/>
    <col width="7.5703125" customWidth="1" style="2" min="2579" max="2579"/>
    <col width="9.140625" customWidth="1" style="2" min="2580" max="2581"/>
    <col width="21.7109375" customWidth="1" style="2" min="2582" max="2582"/>
    <col width="9.140625" customWidth="1" style="2" min="2583" max="2816"/>
    <col width="13.5703125" customWidth="1" style="2" min="2817" max="2817"/>
    <col width="11" customWidth="1" style="2" min="2818" max="2818"/>
    <col width="3.28515625" customWidth="1" style="2" min="2819" max="2819"/>
    <col width="9.140625" customWidth="1" style="2" min="2820" max="2820"/>
    <col width="2.42578125" customWidth="1" style="2" min="2821" max="2821"/>
    <col width="3.28515625" customWidth="1" style="2" min="2822" max="2822"/>
    <col width="5" customWidth="1" style="2" min="2823" max="2823"/>
    <col width="4.42578125" customWidth="1" style="2" min="2824" max="2824"/>
    <col width="5" customWidth="1" style="2" min="2825" max="2825"/>
    <col width="3.28515625" customWidth="1" style="2" min="2826" max="2828"/>
    <col width="5" customWidth="1" style="2" min="2829" max="2829"/>
    <col width="3.28515625" customWidth="1" style="2" min="2830" max="2830"/>
    <col width="5" customWidth="1" style="2" min="2831" max="2831"/>
    <col width="3.28515625" customWidth="1" style="2" min="2832" max="2833"/>
    <col width="2.42578125" customWidth="1" style="2" min="2834" max="2834"/>
    <col width="7.5703125" customWidth="1" style="2" min="2835" max="2835"/>
    <col width="9.140625" customWidth="1" style="2" min="2836" max="2837"/>
    <col width="21.7109375" customWidth="1" style="2" min="2838" max="2838"/>
    <col width="9.140625" customWidth="1" style="2" min="2839" max="3072"/>
    <col width="13.5703125" customWidth="1" style="2" min="3073" max="3073"/>
    <col width="11" customWidth="1" style="2" min="3074" max="3074"/>
    <col width="3.28515625" customWidth="1" style="2" min="3075" max="3075"/>
    <col width="9.140625" customWidth="1" style="2" min="3076" max="3076"/>
    <col width="2.42578125" customWidth="1" style="2" min="3077" max="3077"/>
    <col width="3.28515625" customWidth="1" style="2" min="3078" max="3078"/>
    <col width="5" customWidth="1" style="2" min="3079" max="3079"/>
    <col width="4.42578125" customWidth="1" style="2" min="3080" max="3080"/>
    <col width="5" customWidth="1" style="2" min="3081" max="3081"/>
    <col width="3.28515625" customWidth="1" style="2" min="3082" max="3084"/>
    <col width="5" customWidth="1" style="2" min="3085" max="3085"/>
    <col width="3.28515625" customWidth="1" style="2" min="3086" max="3086"/>
    <col width="5" customWidth="1" style="2" min="3087" max="3087"/>
    <col width="3.28515625" customWidth="1" style="2" min="3088" max="3089"/>
    <col width="2.42578125" customWidth="1" style="2" min="3090" max="3090"/>
    <col width="7.5703125" customWidth="1" style="2" min="3091" max="3091"/>
    <col width="9.140625" customWidth="1" style="2" min="3092" max="3093"/>
    <col width="21.7109375" customWidth="1" style="2" min="3094" max="3094"/>
    <col width="9.140625" customWidth="1" style="2" min="3095" max="3328"/>
    <col width="13.5703125" customWidth="1" style="2" min="3329" max="3329"/>
    <col width="11" customWidth="1" style="2" min="3330" max="3330"/>
    <col width="3.28515625" customWidth="1" style="2" min="3331" max="3331"/>
    <col width="9.140625" customWidth="1" style="2" min="3332" max="3332"/>
    <col width="2.42578125" customWidth="1" style="2" min="3333" max="3333"/>
    <col width="3.28515625" customWidth="1" style="2" min="3334" max="3334"/>
    <col width="5" customWidth="1" style="2" min="3335" max="3335"/>
    <col width="4.42578125" customWidth="1" style="2" min="3336" max="3336"/>
    <col width="5" customWidth="1" style="2" min="3337" max="3337"/>
    <col width="3.28515625" customWidth="1" style="2" min="3338" max="3340"/>
    <col width="5" customWidth="1" style="2" min="3341" max="3341"/>
    <col width="3.28515625" customWidth="1" style="2" min="3342" max="3342"/>
    <col width="5" customWidth="1" style="2" min="3343" max="3343"/>
    <col width="3.28515625" customWidth="1" style="2" min="3344" max="3345"/>
    <col width="2.42578125" customWidth="1" style="2" min="3346" max="3346"/>
    <col width="7.5703125" customWidth="1" style="2" min="3347" max="3347"/>
    <col width="9.140625" customWidth="1" style="2" min="3348" max="3349"/>
    <col width="21.7109375" customWidth="1" style="2" min="3350" max="3350"/>
    <col width="9.140625" customWidth="1" style="2" min="3351" max="3584"/>
    <col width="13.5703125" customWidth="1" style="2" min="3585" max="3585"/>
    <col width="11" customWidth="1" style="2" min="3586" max="3586"/>
    <col width="3.28515625" customWidth="1" style="2" min="3587" max="3587"/>
    <col width="9.140625" customWidth="1" style="2" min="3588" max="3588"/>
    <col width="2.42578125" customWidth="1" style="2" min="3589" max="3589"/>
    <col width="3.28515625" customWidth="1" style="2" min="3590" max="3590"/>
    <col width="5" customWidth="1" style="2" min="3591" max="3591"/>
    <col width="4.42578125" customWidth="1" style="2" min="3592" max="3592"/>
    <col width="5" customWidth="1" style="2" min="3593" max="3593"/>
    <col width="3.28515625" customWidth="1" style="2" min="3594" max="3596"/>
    <col width="5" customWidth="1" style="2" min="3597" max="3597"/>
    <col width="3.28515625" customWidth="1" style="2" min="3598" max="3598"/>
    <col width="5" customWidth="1" style="2" min="3599" max="3599"/>
    <col width="3.28515625" customWidth="1" style="2" min="3600" max="3601"/>
    <col width="2.42578125" customWidth="1" style="2" min="3602" max="3602"/>
    <col width="7.5703125" customWidth="1" style="2" min="3603" max="3603"/>
    <col width="9.140625" customWidth="1" style="2" min="3604" max="3605"/>
    <col width="21.7109375" customWidth="1" style="2" min="3606" max="3606"/>
    <col width="9.140625" customWidth="1" style="2" min="3607" max="3840"/>
    <col width="13.5703125" customWidth="1" style="2" min="3841" max="3841"/>
    <col width="11" customWidth="1" style="2" min="3842" max="3842"/>
    <col width="3.28515625" customWidth="1" style="2" min="3843" max="3843"/>
    <col width="9.140625" customWidth="1" style="2" min="3844" max="3844"/>
    <col width="2.42578125" customWidth="1" style="2" min="3845" max="3845"/>
    <col width="3.28515625" customWidth="1" style="2" min="3846" max="3846"/>
    <col width="5" customWidth="1" style="2" min="3847" max="3847"/>
    <col width="4.42578125" customWidth="1" style="2" min="3848" max="3848"/>
    <col width="5" customWidth="1" style="2" min="3849" max="3849"/>
    <col width="3.28515625" customWidth="1" style="2" min="3850" max="3852"/>
    <col width="5" customWidth="1" style="2" min="3853" max="3853"/>
    <col width="3.28515625" customWidth="1" style="2" min="3854" max="3854"/>
    <col width="5" customWidth="1" style="2" min="3855" max="3855"/>
    <col width="3.28515625" customWidth="1" style="2" min="3856" max="3857"/>
    <col width="2.42578125" customWidth="1" style="2" min="3858" max="3858"/>
    <col width="7.5703125" customWidth="1" style="2" min="3859" max="3859"/>
    <col width="9.140625" customWidth="1" style="2" min="3860" max="3861"/>
    <col width="21.7109375" customWidth="1" style="2" min="3862" max="3862"/>
    <col width="9.140625" customWidth="1" style="2" min="3863" max="4096"/>
    <col width="13.5703125" customWidth="1" style="2" min="4097" max="4097"/>
    <col width="11" customWidth="1" style="2" min="4098" max="4098"/>
    <col width="3.28515625" customWidth="1" style="2" min="4099" max="4099"/>
    <col width="9.140625" customWidth="1" style="2" min="4100" max="4100"/>
    <col width="2.42578125" customWidth="1" style="2" min="4101" max="4101"/>
    <col width="3.28515625" customWidth="1" style="2" min="4102" max="4102"/>
    <col width="5" customWidth="1" style="2" min="4103" max="4103"/>
    <col width="4.42578125" customWidth="1" style="2" min="4104" max="4104"/>
    <col width="5" customWidth="1" style="2" min="4105" max="4105"/>
    <col width="3.28515625" customWidth="1" style="2" min="4106" max="4108"/>
    <col width="5" customWidth="1" style="2" min="4109" max="4109"/>
    <col width="3.28515625" customWidth="1" style="2" min="4110" max="4110"/>
    <col width="5" customWidth="1" style="2" min="4111" max="4111"/>
    <col width="3.28515625" customWidth="1" style="2" min="4112" max="4113"/>
    <col width="2.42578125" customWidth="1" style="2" min="4114" max="4114"/>
    <col width="7.5703125" customWidth="1" style="2" min="4115" max="4115"/>
    <col width="9.140625" customWidth="1" style="2" min="4116" max="4117"/>
    <col width="21.7109375" customWidth="1" style="2" min="4118" max="4118"/>
    <col width="9.140625" customWidth="1" style="2" min="4119" max="4352"/>
    <col width="13.5703125" customWidth="1" style="2" min="4353" max="4353"/>
    <col width="11" customWidth="1" style="2" min="4354" max="4354"/>
    <col width="3.28515625" customWidth="1" style="2" min="4355" max="4355"/>
    <col width="9.140625" customWidth="1" style="2" min="4356" max="4356"/>
    <col width="2.42578125" customWidth="1" style="2" min="4357" max="4357"/>
    <col width="3.28515625" customWidth="1" style="2" min="4358" max="4358"/>
    <col width="5" customWidth="1" style="2" min="4359" max="4359"/>
    <col width="4.42578125" customWidth="1" style="2" min="4360" max="4360"/>
    <col width="5" customWidth="1" style="2" min="4361" max="4361"/>
    <col width="3.28515625" customWidth="1" style="2" min="4362" max="4364"/>
    <col width="5" customWidth="1" style="2" min="4365" max="4365"/>
    <col width="3.28515625" customWidth="1" style="2" min="4366" max="4366"/>
    <col width="5" customWidth="1" style="2" min="4367" max="4367"/>
    <col width="3.28515625" customWidth="1" style="2" min="4368" max="4369"/>
    <col width="2.42578125" customWidth="1" style="2" min="4370" max="4370"/>
    <col width="7.5703125" customWidth="1" style="2" min="4371" max="4371"/>
    <col width="9.140625" customWidth="1" style="2" min="4372" max="4373"/>
    <col width="21.7109375" customWidth="1" style="2" min="4374" max="4374"/>
    <col width="9.140625" customWidth="1" style="2" min="4375" max="4608"/>
    <col width="13.5703125" customWidth="1" style="2" min="4609" max="4609"/>
    <col width="11" customWidth="1" style="2" min="4610" max="4610"/>
    <col width="3.28515625" customWidth="1" style="2" min="4611" max="4611"/>
    <col width="9.140625" customWidth="1" style="2" min="4612" max="4612"/>
    <col width="2.42578125" customWidth="1" style="2" min="4613" max="4613"/>
    <col width="3.28515625" customWidth="1" style="2" min="4614" max="4614"/>
    <col width="5" customWidth="1" style="2" min="4615" max="4615"/>
    <col width="4.42578125" customWidth="1" style="2" min="4616" max="4616"/>
    <col width="5" customWidth="1" style="2" min="4617" max="4617"/>
    <col width="3.28515625" customWidth="1" style="2" min="4618" max="4620"/>
    <col width="5" customWidth="1" style="2" min="4621" max="4621"/>
    <col width="3.28515625" customWidth="1" style="2" min="4622" max="4622"/>
    <col width="5" customWidth="1" style="2" min="4623" max="4623"/>
    <col width="3.28515625" customWidth="1" style="2" min="4624" max="4625"/>
    <col width="2.42578125" customWidth="1" style="2" min="4626" max="4626"/>
    <col width="7.5703125" customWidth="1" style="2" min="4627" max="4627"/>
    <col width="9.140625" customWidth="1" style="2" min="4628" max="4629"/>
    <col width="21.7109375" customWidth="1" style="2" min="4630" max="4630"/>
    <col width="9.140625" customWidth="1" style="2" min="4631" max="4864"/>
    <col width="13.5703125" customWidth="1" style="2" min="4865" max="4865"/>
    <col width="11" customWidth="1" style="2" min="4866" max="4866"/>
    <col width="3.28515625" customWidth="1" style="2" min="4867" max="4867"/>
    <col width="9.140625" customWidth="1" style="2" min="4868" max="4868"/>
    <col width="2.42578125" customWidth="1" style="2" min="4869" max="4869"/>
    <col width="3.28515625" customWidth="1" style="2" min="4870" max="4870"/>
    <col width="5" customWidth="1" style="2" min="4871" max="4871"/>
    <col width="4.42578125" customWidth="1" style="2" min="4872" max="4872"/>
    <col width="5" customWidth="1" style="2" min="4873" max="4873"/>
    <col width="3.28515625" customWidth="1" style="2" min="4874" max="4876"/>
    <col width="5" customWidth="1" style="2" min="4877" max="4877"/>
    <col width="3.28515625" customWidth="1" style="2" min="4878" max="4878"/>
    <col width="5" customWidth="1" style="2" min="4879" max="4879"/>
    <col width="3.28515625" customWidth="1" style="2" min="4880" max="4881"/>
    <col width="2.42578125" customWidth="1" style="2" min="4882" max="4882"/>
    <col width="7.5703125" customWidth="1" style="2" min="4883" max="4883"/>
    <col width="9.140625" customWidth="1" style="2" min="4884" max="4885"/>
    <col width="21.7109375" customWidth="1" style="2" min="4886" max="4886"/>
    <col width="9.140625" customWidth="1" style="2" min="4887" max="5120"/>
    <col width="13.5703125" customWidth="1" style="2" min="5121" max="5121"/>
    <col width="11" customWidth="1" style="2" min="5122" max="5122"/>
    <col width="3.28515625" customWidth="1" style="2" min="5123" max="5123"/>
    <col width="9.140625" customWidth="1" style="2" min="5124" max="5124"/>
    <col width="2.42578125" customWidth="1" style="2" min="5125" max="5125"/>
    <col width="3.28515625" customWidth="1" style="2" min="5126" max="5126"/>
    <col width="5" customWidth="1" style="2" min="5127" max="5127"/>
    <col width="4.42578125" customWidth="1" style="2" min="5128" max="5128"/>
    <col width="5" customWidth="1" style="2" min="5129" max="5129"/>
    <col width="3.28515625" customWidth="1" style="2" min="5130" max="5132"/>
    <col width="5" customWidth="1" style="2" min="5133" max="5133"/>
    <col width="3.28515625" customWidth="1" style="2" min="5134" max="5134"/>
    <col width="5" customWidth="1" style="2" min="5135" max="5135"/>
    <col width="3.28515625" customWidth="1" style="2" min="5136" max="5137"/>
    <col width="2.42578125" customWidth="1" style="2" min="5138" max="5138"/>
    <col width="7.5703125" customWidth="1" style="2" min="5139" max="5139"/>
    <col width="9.140625" customWidth="1" style="2" min="5140" max="5141"/>
    <col width="21.7109375" customWidth="1" style="2" min="5142" max="5142"/>
    <col width="9.140625" customWidth="1" style="2" min="5143" max="5376"/>
    <col width="13.5703125" customWidth="1" style="2" min="5377" max="5377"/>
    <col width="11" customWidth="1" style="2" min="5378" max="5378"/>
    <col width="3.28515625" customWidth="1" style="2" min="5379" max="5379"/>
    <col width="9.140625" customWidth="1" style="2" min="5380" max="5380"/>
    <col width="2.42578125" customWidth="1" style="2" min="5381" max="5381"/>
    <col width="3.28515625" customWidth="1" style="2" min="5382" max="5382"/>
    <col width="5" customWidth="1" style="2" min="5383" max="5383"/>
    <col width="4.42578125" customWidth="1" style="2" min="5384" max="5384"/>
    <col width="5" customWidth="1" style="2" min="5385" max="5385"/>
    <col width="3.28515625" customWidth="1" style="2" min="5386" max="5388"/>
    <col width="5" customWidth="1" style="2" min="5389" max="5389"/>
    <col width="3.28515625" customWidth="1" style="2" min="5390" max="5390"/>
    <col width="5" customWidth="1" style="2" min="5391" max="5391"/>
    <col width="3.28515625" customWidth="1" style="2" min="5392" max="5393"/>
    <col width="2.42578125" customWidth="1" style="2" min="5394" max="5394"/>
    <col width="7.5703125" customWidth="1" style="2" min="5395" max="5395"/>
    <col width="9.140625" customWidth="1" style="2" min="5396" max="5397"/>
    <col width="21.7109375" customWidth="1" style="2" min="5398" max="5398"/>
    <col width="9.140625" customWidth="1" style="2" min="5399" max="5632"/>
    <col width="13.5703125" customWidth="1" style="2" min="5633" max="5633"/>
    <col width="11" customWidth="1" style="2" min="5634" max="5634"/>
    <col width="3.28515625" customWidth="1" style="2" min="5635" max="5635"/>
    <col width="9.140625" customWidth="1" style="2" min="5636" max="5636"/>
    <col width="2.42578125" customWidth="1" style="2" min="5637" max="5637"/>
    <col width="3.28515625" customWidth="1" style="2" min="5638" max="5638"/>
    <col width="5" customWidth="1" style="2" min="5639" max="5639"/>
    <col width="4.42578125" customWidth="1" style="2" min="5640" max="5640"/>
    <col width="5" customWidth="1" style="2" min="5641" max="5641"/>
    <col width="3.28515625" customWidth="1" style="2" min="5642" max="5644"/>
    <col width="5" customWidth="1" style="2" min="5645" max="5645"/>
    <col width="3.28515625" customWidth="1" style="2" min="5646" max="5646"/>
    <col width="5" customWidth="1" style="2" min="5647" max="5647"/>
    <col width="3.28515625" customWidth="1" style="2" min="5648" max="5649"/>
    <col width="2.42578125" customWidth="1" style="2" min="5650" max="5650"/>
    <col width="7.5703125" customWidth="1" style="2" min="5651" max="5651"/>
    <col width="9.140625" customWidth="1" style="2" min="5652" max="5653"/>
    <col width="21.7109375" customWidth="1" style="2" min="5654" max="5654"/>
    <col width="9.140625" customWidth="1" style="2" min="5655" max="5888"/>
    <col width="13.5703125" customWidth="1" style="2" min="5889" max="5889"/>
    <col width="11" customWidth="1" style="2" min="5890" max="5890"/>
    <col width="3.28515625" customWidth="1" style="2" min="5891" max="5891"/>
    <col width="9.140625" customWidth="1" style="2" min="5892" max="5892"/>
    <col width="2.42578125" customWidth="1" style="2" min="5893" max="5893"/>
    <col width="3.28515625" customWidth="1" style="2" min="5894" max="5894"/>
    <col width="5" customWidth="1" style="2" min="5895" max="5895"/>
    <col width="4.42578125" customWidth="1" style="2" min="5896" max="5896"/>
    <col width="5" customWidth="1" style="2" min="5897" max="5897"/>
    <col width="3.28515625" customWidth="1" style="2" min="5898" max="5900"/>
    <col width="5" customWidth="1" style="2" min="5901" max="5901"/>
    <col width="3.28515625" customWidth="1" style="2" min="5902" max="5902"/>
    <col width="5" customWidth="1" style="2" min="5903" max="5903"/>
    <col width="3.28515625" customWidth="1" style="2" min="5904" max="5905"/>
    <col width="2.42578125" customWidth="1" style="2" min="5906" max="5906"/>
    <col width="7.5703125" customWidth="1" style="2" min="5907" max="5907"/>
    <col width="9.140625" customWidth="1" style="2" min="5908" max="5909"/>
    <col width="21.7109375" customWidth="1" style="2" min="5910" max="5910"/>
    <col width="9.140625" customWidth="1" style="2" min="5911" max="6144"/>
    <col width="13.5703125" customWidth="1" style="2" min="6145" max="6145"/>
    <col width="11" customWidth="1" style="2" min="6146" max="6146"/>
    <col width="3.28515625" customWidth="1" style="2" min="6147" max="6147"/>
    <col width="9.140625" customWidth="1" style="2" min="6148" max="6148"/>
    <col width="2.42578125" customWidth="1" style="2" min="6149" max="6149"/>
    <col width="3.28515625" customWidth="1" style="2" min="6150" max="6150"/>
    <col width="5" customWidth="1" style="2" min="6151" max="6151"/>
    <col width="4.42578125" customWidth="1" style="2" min="6152" max="6152"/>
    <col width="5" customWidth="1" style="2" min="6153" max="6153"/>
    <col width="3.28515625" customWidth="1" style="2" min="6154" max="6156"/>
    <col width="5" customWidth="1" style="2" min="6157" max="6157"/>
    <col width="3.28515625" customWidth="1" style="2" min="6158" max="6158"/>
    <col width="5" customWidth="1" style="2" min="6159" max="6159"/>
    <col width="3.28515625" customWidth="1" style="2" min="6160" max="6161"/>
    <col width="2.42578125" customWidth="1" style="2" min="6162" max="6162"/>
    <col width="7.5703125" customWidth="1" style="2" min="6163" max="6163"/>
    <col width="9.140625" customWidth="1" style="2" min="6164" max="6165"/>
    <col width="21.7109375" customWidth="1" style="2" min="6166" max="6166"/>
    <col width="9.140625" customWidth="1" style="2" min="6167" max="6400"/>
    <col width="13.5703125" customWidth="1" style="2" min="6401" max="6401"/>
    <col width="11" customWidth="1" style="2" min="6402" max="6402"/>
    <col width="3.28515625" customWidth="1" style="2" min="6403" max="6403"/>
    <col width="9.140625" customWidth="1" style="2" min="6404" max="6404"/>
    <col width="2.42578125" customWidth="1" style="2" min="6405" max="6405"/>
    <col width="3.28515625" customWidth="1" style="2" min="6406" max="6406"/>
    <col width="5" customWidth="1" style="2" min="6407" max="6407"/>
    <col width="4.42578125" customWidth="1" style="2" min="6408" max="6408"/>
    <col width="5" customWidth="1" style="2" min="6409" max="6409"/>
    <col width="3.28515625" customWidth="1" style="2" min="6410" max="6412"/>
    <col width="5" customWidth="1" style="2" min="6413" max="6413"/>
    <col width="3.28515625" customWidth="1" style="2" min="6414" max="6414"/>
    <col width="5" customWidth="1" style="2" min="6415" max="6415"/>
    <col width="3.28515625" customWidth="1" style="2" min="6416" max="6417"/>
    <col width="2.42578125" customWidth="1" style="2" min="6418" max="6418"/>
    <col width="7.5703125" customWidth="1" style="2" min="6419" max="6419"/>
    <col width="9.140625" customWidth="1" style="2" min="6420" max="6421"/>
    <col width="21.7109375" customWidth="1" style="2" min="6422" max="6422"/>
    <col width="9.140625" customWidth="1" style="2" min="6423" max="6656"/>
    <col width="13.5703125" customWidth="1" style="2" min="6657" max="6657"/>
    <col width="11" customWidth="1" style="2" min="6658" max="6658"/>
    <col width="3.28515625" customWidth="1" style="2" min="6659" max="6659"/>
    <col width="9.140625" customWidth="1" style="2" min="6660" max="6660"/>
    <col width="2.42578125" customWidth="1" style="2" min="6661" max="6661"/>
    <col width="3.28515625" customWidth="1" style="2" min="6662" max="6662"/>
    <col width="5" customWidth="1" style="2" min="6663" max="6663"/>
    <col width="4.42578125" customWidth="1" style="2" min="6664" max="6664"/>
    <col width="5" customWidth="1" style="2" min="6665" max="6665"/>
    <col width="3.28515625" customWidth="1" style="2" min="6666" max="6668"/>
    <col width="5" customWidth="1" style="2" min="6669" max="6669"/>
    <col width="3.28515625" customWidth="1" style="2" min="6670" max="6670"/>
    <col width="5" customWidth="1" style="2" min="6671" max="6671"/>
    <col width="3.28515625" customWidth="1" style="2" min="6672" max="6673"/>
    <col width="2.42578125" customWidth="1" style="2" min="6674" max="6674"/>
    <col width="7.5703125" customWidth="1" style="2" min="6675" max="6675"/>
    <col width="9.140625" customWidth="1" style="2" min="6676" max="6677"/>
    <col width="21.7109375" customWidth="1" style="2" min="6678" max="6678"/>
    <col width="9.140625" customWidth="1" style="2" min="6679" max="6912"/>
    <col width="13.5703125" customWidth="1" style="2" min="6913" max="6913"/>
    <col width="11" customWidth="1" style="2" min="6914" max="6914"/>
    <col width="3.28515625" customWidth="1" style="2" min="6915" max="6915"/>
    <col width="9.140625" customWidth="1" style="2" min="6916" max="6916"/>
    <col width="2.42578125" customWidth="1" style="2" min="6917" max="6917"/>
    <col width="3.28515625" customWidth="1" style="2" min="6918" max="6918"/>
    <col width="5" customWidth="1" style="2" min="6919" max="6919"/>
    <col width="4.42578125" customWidth="1" style="2" min="6920" max="6920"/>
    <col width="5" customWidth="1" style="2" min="6921" max="6921"/>
    <col width="3.28515625" customWidth="1" style="2" min="6922" max="6924"/>
    <col width="5" customWidth="1" style="2" min="6925" max="6925"/>
    <col width="3.28515625" customWidth="1" style="2" min="6926" max="6926"/>
    <col width="5" customWidth="1" style="2" min="6927" max="6927"/>
    <col width="3.28515625" customWidth="1" style="2" min="6928" max="6929"/>
    <col width="2.42578125" customWidth="1" style="2" min="6930" max="6930"/>
    <col width="7.5703125" customWidth="1" style="2" min="6931" max="6931"/>
    <col width="9.140625" customWidth="1" style="2" min="6932" max="6933"/>
    <col width="21.7109375" customWidth="1" style="2" min="6934" max="6934"/>
    <col width="9.140625" customWidth="1" style="2" min="6935" max="7168"/>
    <col width="13.5703125" customWidth="1" style="2" min="7169" max="7169"/>
    <col width="11" customWidth="1" style="2" min="7170" max="7170"/>
    <col width="3.28515625" customWidth="1" style="2" min="7171" max="7171"/>
    <col width="9.140625" customWidth="1" style="2" min="7172" max="7172"/>
    <col width="2.42578125" customWidth="1" style="2" min="7173" max="7173"/>
    <col width="3.28515625" customWidth="1" style="2" min="7174" max="7174"/>
    <col width="5" customWidth="1" style="2" min="7175" max="7175"/>
    <col width="4.42578125" customWidth="1" style="2" min="7176" max="7176"/>
    <col width="5" customWidth="1" style="2" min="7177" max="7177"/>
    <col width="3.28515625" customWidth="1" style="2" min="7178" max="7180"/>
    <col width="5" customWidth="1" style="2" min="7181" max="7181"/>
    <col width="3.28515625" customWidth="1" style="2" min="7182" max="7182"/>
    <col width="5" customWidth="1" style="2" min="7183" max="7183"/>
    <col width="3.28515625" customWidth="1" style="2" min="7184" max="7185"/>
    <col width="2.42578125" customWidth="1" style="2" min="7186" max="7186"/>
    <col width="7.5703125" customWidth="1" style="2" min="7187" max="7187"/>
    <col width="9.140625" customWidth="1" style="2" min="7188" max="7189"/>
    <col width="21.7109375" customWidth="1" style="2" min="7190" max="7190"/>
    <col width="9.140625" customWidth="1" style="2" min="7191" max="7424"/>
    <col width="13.5703125" customWidth="1" style="2" min="7425" max="7425"/>
    <col width="11" customWidth="1" style="2" min="7426" max="7426"/>
    <col width="3.28515625" customWidth="1" style="2" min="7427" max="7427"/>
    <col width="9.140625" customWidth="1" style="2" min="7428" max="7428"/>
    <col width="2.42578125" customWidth="1" style="2" min="7429" max="7429"/>
    <col width="3.28515625" customWidth="1" style="2" min="7430" max="7430"/>
    <col width="5" customWidth="1" style="2" min="7431" max="7431"/>
    <col width="4.42578125" customWidth="1" style="2" min="7432" max="7432"/>
    <col width="5" customWidth="1" style="2" min="7433" max="7433"/>
    <col width="3.28515625" customWidth="1" style="2" min="7434" max="7436"/>
    <col width="5" customWidth="1" style="2" min="7437" max="7437"/>
    <col width="3.28515625" customWidth="1" style="2" min="7438" max="7438"/>
    <col width="5" customWidth="1" style="2" min="7439" max="7439"/>
    <col width="3.28515625" customWidth="1" style="2" min="7440" max="7441"/>
    <col width="2.42578125" customWidth="1" style="2" min="7442" max="7442"/>
    <col width="7.5703125" customWidth="1" style="2" min="7443" max="7443"/>
    <col width="9.140625" customWidth="1" style="2" min="7444" max="7445"/>
    <col width="21.7109375" customWidth="1" style="2" min="7446" max="7446"/>
    <col width="9.140625" customWidth="1" style="2" min="7447" max="7680"/>
    <col width="13.5703125" customWidth="1" style="2" min="7681" max="7681"/>
    <col width="11" customWidth="1" style="2" min="7682" max="7682"/>
    <col width="3.28515625" customWidth="1" style="2" min="7683" max="7683"/>
    <col width="9.140625" customWidth="1" style="2" min="7684" max="7684"/>
    <col width="2.42578125" customWidth="1" style="2" min="7685" max="7685"/>
    <col width="3.28515625" customWidth="1" style="2" min="7686" max="7686"/>
    <col width="5" customWidth="1" style="2" min="7687" max="7687"/>
    <col width="4.42578125" customWidth="1" style="2" min="7688" max="7688"/>
    <col width="5" customWidth="1" style="2" min="7689" max="7689"/>
    <col width="3.28515625" customWidth="1" style="2" min="7690" max="7692"/>
    <col width="5" customWidth="1" style="2" min="7693" max="7693"/>
    <col width="3.28515625" customWidth="1" style="2" min="7694" max="7694"/>
    <col width="5" customWidth="1" style="2" min="7695" max="7695"/>
    <col width="3.28515625" customWidth="1" style="2" min="7696" max="7697"/>
    <col width="2.42578125" customWidth="1" style="2" min="7698" max="7698"/>
    <col width="7.5703125" customWidth="1" style="2" min="7699" max="7699"/>
    <col width="9.140625" customWidth="1" style="2" min="7700" max="7701"/>
    <col width="21.7109375" customWidth="1" style="2" min="7702" max="7702"/>
    <col width="9.140625" customWidth="1" style="2" min="7703" max="7936"/>
    <col width="13.5703125" customWidth="1" style="2" min="7937" max="7937"/>
    <col width="11" customWidth="1" style="2" min="7938" max="7938"/>
    <col width="3.28515625" customWidth="1" style="2" min="7939" max="7939"/>
    <col width="9.140625" customWidth="1" style="2" min="7940" max="7940"/>
    <col width="2.42578125" customWidth="1" style="2" min="7941" max="7941"/>
    <col width="3.28515625" customWidth="1" style="2" min="7942" max="7942"/>
    <col width="5" customWidth="1" style="2" min="7943" max="7943"/>
    <col width="4.42578125" customWidth="1" style="2" min="7944" max="7944"/>
    <col width="5" customWidth="1" style="2" min="7945" max="7945"/>
    <col width="3.28515625" customWidth="1" style="2" min="7946" max="7948"/>
    <col width="5" customWidth="1" style="2" min="7949" max="7949"/>
    <col width="3.28515625" customWidth="1" style="2" min="7950" max="7950"/>
    <col width="5" customWidth="1" style="2" min="7951" max="7951"/>
    <col width="3.28515625" customWidth="1" style="2" min="7952" max="7953"/>
    <col width="2.42578125" customWidth="1" style="2" min="7954" max="7954"/>
    <col width="7.5703125" customWidth="1" style="2" min="7955" max="7955"/>
    <col width="9.140625" customWidth="1" style="2" min="7956" max="7957"/>
    <col width="21.7109375" customWidth="1" style="2" min="7958" max="7958"/>
    <col width="9.140625" customWidth="1" style="2" min="7959" max="8192"/>
    <col width="13.5703125" customWidth="1" style="2" min="8193" max="8193"/>
    <col width="11" customWidth="1" style="2" min="8194" max="8194"/>
    <col width="3.28515625" customWidth="1" style="2" min="8195" max="8195"/>
    <col width="9.140625" customWidth="1" style="2" min="8196" max="8196"/>
    <col width="2.42578125" customWidth="1" style="2" min="8197" max="8197"/>
    <col width="3.28515625" customWidth="1" style="2" min="8198" max="8198"/>
    <col width="5" customWidth="1" style="2" min="8199" max="8199"/>
    <col width="4.42578125" customWidth="1" style="2" min="8200" max="8200"/>
    <col width="5" customWidth="1" style="2" min="8201" max="8201"/>
    <col width="3.28515625" customWidth="1" style="2" min="8202" max="8204"/>
    <col width="5" customWidth="1" style="2" min="8205" max="8205"/>
    <col width="3.28515625" customWidth="1" style="2" min="8206" max="8206"/>
    <col width="5" customWidth="1" style="2" min="8207" max="8207"/>
    <col width="3.28515625" customWidth="1" style="2" min="8208" max="8209"/>
    <col width="2.42578125" customWidth="1" style="2" min="8210" max="8210"/>
    <col width="7.5703125" customWidth="1" style="2" min="8211" max="8211"/>
    <col width="9.140625" customWidth="1" style="2" min="8212" max="8213"/>
    <col width="21.7109375" customWidth="1" style="2" min="8214" max="8214"/>
    <col width="9.140625" customWidth="1" style="2" min="8215" max="8448"/>
    <col width="13.5703125" customWidth="1" style="2" min="8449" max="8449"/>
    <col width="11" customWidth="1" style="2" min="8450" max="8450"/>
    <col width="3.28515625" customWidth="1" style="2" min="8451" max="8451"/>
    <col width="9.140625" customWidth="1" style="2" min="8452" max="8452"/>
    <col width="2.42578125" customWidth="1" style="2" min="8453" max="8453"/>
    <col width="3.28515625" customWidth="1" style="2" min="8454" max="8454"/>
    <col width="5" customWidth="1" style="2" min="8455" max="8455"/>
    <col width="4.42578125" customWidth="1" style="2" min="8456" max="8456"/>
    <col width="5" customWidth="1" style="2" min="8457" max="8457"/>
    <col width="3.28515625" customWidth="1" style="2" min="8458" max="8460"/>
    <col width="5" customWidth="1" style="2" min="8461" max="8461"/>
    <col width="3.28515625" customWidth="1" style="2" min="8462" max="8462"/>
    <col width="5" customWidth="1" style="2" min="8463" max="8463"/>
    <col width="3.28515625" customWidth="1" style="2" min="8464" max="8465"/>
    <col width="2.42578125" customWidth="1" style="2" min="8466" max="8466"/>
    <col width="7.5703125" customWidth="1" style="2" min="8467" max="8467"/>
    <col width="9.140625" customWidth="1" style="2" min="8468" max="8469"/>
    <col width="21.7109375" customWidth="1" style="2" min="8470" max="8470"/>
    <col width="9.140625" customWidth="1" style="2" min="8471" max="8704"/>
    <col width="13.5703125" customWidth="1" style="2" min="8705" max="8705"/>
    <col width="11" customWidth="1" style="2" min="8706" max="8706"/>
    <col width="3.28515625" customWidth="1" style="2" min="8707" max="8707"/>
    <col width="9.140625" customWidth="1" style="2" min="8708" max="8708"/>
    <col width="2.42578125" customWidth="1" style="2" min="8709" max="8709"/>
    <col width="3.28515625" customWidth="1" style="2" min="8710" max="8710"/>
    <col width="5" customWidth="1" style="2" min="8711" max="8711"/>
    <col width="4.42578125" customWidth="1" style="2" min="8712" max="8712"/>
    <col width="5" customWidth="1" style="2" min="8713" max="8713"/>
    <col width="3.28515625" customWidth="1" style="2" min="8714" max="8716"/>
    <col width="5" customWidth="1" style="2" min="8717" max="8717"/>
    <col width="3.28515625" customWidth="1" style="2" min="8718" max="8718"/>
    <col width="5" customWidth="1" style="2" min="8719" max="8719"/>
    <col width="3.28515625" customWidth="1" style="2" min="8720" max="8721"/>
    <col width="2.42578125" customWidth="1" style="2" min="8722" max="8722"/>
    <col width="7.5703125" customWidth="1" style="2" min="8723" max="8723"/>
    <col width="9.140625" customWidth="1" style="2" min="8724" max="8725"/>
    <col width="21.7109375" customWidth="1" style="2" min="8726" max="8726"/>
    <col width="9.140625" customWidth="1" style="2" min="8727" max="8960"/>
    <col width="13.5703125" customWidth="1" style="2" min="8961" max="8961"/>
    <col width="11" customWidth="1" style="2" min="8962" max="8962"/>
    <col width="3.28515625" customWidth="1" style="2" min="8963" max="8963"/>
    <col width="9.140625" customWidth="1" style="2" min="8964" max="8964"/>
    <col width="2.42578125" customWidth="1" style="2" min="8965" max="8965"/>
    <col width="3.28515625" customWidth="1" style="2" min="8966" max="8966"/>
    <col width="5" customWidth="1" style="2" min="8967" max="8967"/>
    <col width="4.42578125" customWidth="1" style="2" min="8968" max="8968"/>
    <col width="5" customWidth="1" style="2" min="8969" max="8969"/>
    <col width="3.28515625" customWidth="1" style="2" min="8970" max="8972"/>
    <col width="5" customWidth="1" style="2" min="8973" max="8973"/>
    <col width="3.28515625" customWidth="1" style="2" min="8974" max="8974"/>
    <col width="5" customWidth="1" style="2" min="8975" max="8975"/>
    <col width="3.28515625" customWidth="1" style="2" min="8976" max="8977"/>
    <col width="2.42578125" customWidth="1" style="2" min="8978" max="8978"/>
    <col width="7.5703125" customWidth="1" style="2" min="8979" max="8979"/>
    <col width="9.140625" customWidth="1" style="2" min="8980" max="8981"/>
    <col width="21.7109375" customWidth="1" style="2" min="8982" max="8982"/>
    <col width="9.140625" customWidth="1" style="2" min="8983" max="9216"/>
    <col width="13.5703125" customWidth="1" style="2" min="9217" max="9217"/>
    <col width="11" customWidth="1" style="2" min="9218" max="9218"/>
    <col width="3.28515625" customWidth="1" style="2" min="9219" max="9219"/>
    <col width="9.140625" customWidth="1" style="2" min="9220" max="9220"/>
    <col width="2.42578125" customWidth="1" style="2" min="9221" max="9221"/>
    <col width="3.28515625" customWidth="1" style="2" min="9222" max="9222"/>
    <col width="5" customWidth="1" style="2" min="9223" max="9223"/>
    <col width="4.42578125" customWidth="1" style="2" min="9224" max="9224"/>
    <col width="5" customWidth="1" style="2" min="9225" max="9225"/>
    <col width="3.28515625" customWidth="1" style="2" min="9226" max="9228"/>
    <col width="5" customWidth="1" style="2" min="9229" max="9229"/>
    <col width="3.28515625" customWidth="1" style="2" min="9230" max="9230"/>
    <col width="5" customWidth="1" style="2" min="9231" max="9231"/>
    <col width="3.28515625" customWidth="1" style="2" min="9232" max="9233"/>
    <col width="2.42578125" customWidth="1" style="2" min="9234" max="9234"/>
    <col width="7.5703125" customWidth="1" style="2" min="9235" max="9235"/>
    <col width="9.140625" customWidth="1" style="2" min="9236" max="9237"/>
    <col width="21.7109375" customWidth="1" style="2" min="9238" max="9238"/>
    <col width="9.140625" customWidth="1" style="2" min="9239" max="9472"/>
    <col width="13.5703125" customWidth="1" style="2" min="9473" max="9473"/>
    <col width="11" customWidth="1" style="2" min="9474" max="9474"/>
    <col width="3.28515625" customWidth="1" style="2" min="9475" max="9475"/>
    <col width="9.140625" customWidth="1" style="2" min="9476" max="9476"/>
    <col width="2.42578125" customWidth="1" style="2" min="9477" max="9477"/>
    <col width="3.28515625" customWidth="1" style="2" min="9478" max="9478"/>
    <col width="5" customWidth="1" style="2" min="9479" max="9479"/>
    <col width="4.42578125" customWidth="1" style="2" min="9480" max="9480"/>
    <col width="5" customWidth="1" style="2" min="9481" max="9481"/>
    <col width="3.28515625" customWidth="1" style="2" min="9482" max="9484"/>
    <col width="5" customWidth="1" style="2" min="9485" max="9485"/>
    <col width="3.28515625" customWidth="1" style="2" min="9486" max="9486"/>
    <col width="5" customWidth="1" style="2" min="9487" max="9487"/>
    <col width="3.28515625" customWidth="1" style="2" min="9488" max="9489"/>
    <col width="2.42578125" customWidth="1" style="2" min="9490" max="9490"/>
    <col width="7.5703125" customWidth="1" style="2" min="9491" max="9491"/>
    <col width="9.140625" customWidth="1" style="2" min="9492" max="9493"/>
    <col width="21.7109375" customWidth="1" style="2" min="9494" max="9494"/>
    <col width="9.140625" customWidth="1" style="2" min="9495" max="9728"/>
    <col width="13.5703125" customWidth="1" style="2" min="9729" max="9729"/>
    <col width="11" customWidth="1" style="2" min="9730" max="9730"/>
    <col width="3.28515625" customWidth="1" style="2" min="9731" max="9731"/>
    <col width="9.140625" customWidth="1" style="2" min="9732" max="9732"/>
    <col width="2.42578125" customWidth="1" style="2" min="9733" max="9733"/>
    <col width="3.28515625" customWidth="1" style="2" min="9734" max="9734"/>
    <col width="5" customWidth="1" style="2" min="9735" max="9735"/>
    <col width="4.42578125" customWidth="1" style="2" min="9736" max="9736"/>
    <col width="5" customWidth="1" style="2" min="9737" max="9737"/>
    <col width="3.28515625" customWidth="1" style="2" min="9738" max="9740"/>
    <col width="5" customWidth="1" style="2" min="9741" max="9741"/>
    <col width="3.28515625" customWidth="1" style="2" min="9742" max="9742"/>
    <col width="5" customWidth="1" style="2" min="9743" max="9743"/>
    <col width="3.28515625" customWidth="1" style="2" min="9744" max="9745"/>
    <col width="2.42578125" customWidth="1" style="2" min="9746" max="9746"/>
    <col width="7.5703125" customWidth="1" style="2" min="9747" max="9747"/>
    <col width="9.140625" customWidth="1" style="2" min="9748" max="9749"/>
    <col width="21.7109375" customWidth="1" style="2" min="9750" max="9750"/>
    <col width="9.140625" customWidth="1" style="2" min="9751" max="9984"/>
    <col width="13.5703125" customWidth="1" style="2" min="9985" max="9985"/>
    <col width="11" customWidth="1" style="2" min="9986" max="9986"/>
    <col width="3.28515625" customWidth="1" style="2" min="9987" max="9987"/>
    <col width="9.140625" customWidth="1" style="2" min="9988" max="9988"/>
    <col width="2.42578125" customWidth="1" style="2" min="9989" max="9989"/>
    <col width="3.28515625" customWidth="1" style="2" min="9990" max="9990"/>
    <col width="5" customWidth="1" style="2" min="9991" max="9991"/>
    <col width="4.42578125" customWidth="1" style="2" min="9992" max="9992"/>
    <col width="5" customWidth="1" style="2" min="9993" max="9993"/>
    <col width="3.28515625" customWidth="1" style="2" min="9994" max="9996"/>
    <col width="5" customWidth="1" style="2" min="9997" max="9997"/>
    <col width="3.28515625" customWidth="1" style="2" min="9998" max="9998"/>
    <col width="5" customWidth="1" style="2" min="9999" max="9999"/>
    <col width="3.28515625" customWidth="1" style="2" min="10000" max="10001"/>
    <col width="2.42578125" customWidth="1" style="2" min="10002" max="10002"/>
    <col width="7.5703125" customWidth="1" style="2" min="10003" max="10003"/>
    <col width="9.140625" customWidth="1" style="2" min="10004" max="10005"/>
    <col width="21.7109375" customWidth="1" style="2" min="10006" max="10006"/>
    <col width="9.140625" customWidth="1" style="2" min="10007" max="10240"/>
    <col width="13.5703125" customWidth="1" style="2" min="10241" max="10241"/>
    <col width="11" customWidth="1" style="2" min="10242" max="10242"/>
    <col width="3.28515625" customWidth="1" style="2" min="10243" max="10243"/>
    <col width="9.140625" customWidth="1" style="2" min="10244" max="10244"/>
    <col width="2.42578125" customWidth="1" style="2" min="10245" max="10245"/>
    <col width="3.28515625" customWidth="1" style="2" min="10246" max="10246"/>
    <col width="5" customWidth="1" style="2" min="10247" max="10247"/>
    <col width="4.42578125" customWidth="1" style="2" min="10248" max="10248"/>
    <col width="5" customWidth="1" style="2" min="10249" max="10249"/>
    <col width="3.28515625" customWidth="1" style="2" min="10250" max="10252"/>
    <col width="5" customWidth="1" style="2" min="10253" max="10253"/>
    <col width="3.28515625" customWidth="1" style="2" min="10254" max="10254"/>
    <col width="5" customWidth="1" style="2" min="10255" max="10255"/>
    <col width="3.28515625" customWidth="1" style="2" min="10256" max="10257"/>
    <col width="2.42578125" customWidth="1" style="2" min="10258" max="10258"/>
    <col width="7.5703125" customWidth="1" style="2" min="10259" max="10259"/>
    <col width="9.140625" customWidth="1" style="2" min="10260" max="10261"/>
    <col width="21.7109375" customWidth="1" style="2" min="10262" max="10262"/>
    <col width="9.140625" customWidth="1" style="2" min="10263" max="10496"/>
    <col width="13.5703125" customWidth="1" style="2" min="10497" max="10497"/>
    <col width="11" customWidth="1" style="2" min="10498" max="10498"/>
    <col width="3.28515625" customWidth="1" style="2" min="10499" max="10499"/>
    <col width="9.140625" customWidth="1" style="2" min="10500" max="10500"/>
    <col width="2.42578125" customWidth="1" style="2" min="10501" max="10501"/>
    <col width="3.28515625" customWidth="1" style="2" min="10502" max="10502"/>
    <col width="5" customWidth="1" style="2" min="10503" max="10503"/>
    <col width="4.42578125" customWidth="1" style="2" min="10504" max="10504"/>
    <col width="5" customWidth="1" style="2" min="10505" max="10505"/>
    <col width="3.28515625" customWidth="1" style="2" min="10506" max="10508"/>
    <col width="5" customWidth="1" style="2" min="10509" max="10509"/>
    <col width="3.28515625" customWidth="1" style="2" min="10510" max="10510"/>
    <col width="5" customWidth="1" style="2" min="10511" max="10511"/>
    <col width="3.28515625" customWidth="1" style="2" min="10512" max="10513"/>
    <col width="2.42578125" customWidth="1" style="2" min="10514" max="10514"/>
    <col width="7.5703125" customWidth="1" style="2" min="10515" max="10515"/>
    <col width="9.140625" customWidth="1" style="2" min="10516" max="10517"/>
    <col width="21.7109375" customWidth="1" style="2" min="10518" max="10518"/>
    <col width="9.140625" customWidth="1" style="2" min="10519" max="10752"/>
    <col width="13.5703125" customWidth="1" style="2" min="10753" max="10753"/>
    <col width="11" customWidth="1" style="2" min="10754" max="10754"/>
    <col width="3.28515625" customWidth="1" style="2" min="10755" max="10755"/>
    <col width="9.140625" customWidth="1" style="2" min="10756" max="10756"/>
    <col width="2.42578125" customWidth="1" style="2" min="10757" max="10757"/>
    <col width="3.28515625" customWidth="1" style="2" min="10758" max="10758"/>
    <col width="5" customWidth="1" style="2" min="10759" max="10759"/>
    <col width="4.42578125" customWidth="1" style="2" min="10760" max="10760"/>
    <col width="5" customWidth="1" style="2" min="10761" max="10761"/>
    <col width="3.28515625" customWidth="1" style="2" min="10762" max="10764"/>
    <col width="5" customWidth="1" style="2" min="10765" max="10765"/>
    <col width="3.28515625" customWidth="1" style="2" min="10766" max="10766"/>
    <col width="5" customWidth="1" style="2" min="10767" max="10767"/>
    <col width="3.28515625" customWidth="1" style="2" min="10768" max="10769"/>
    <col width="2.42578125" customWidth="1" style="2" min="10770" max="10770"/>
    <col width="7.5703125" customWidth="1" style="2" min="10771" max="10771"/>
    <col width="9.140625" customWidth="1" style="2" min="10772" max="10773"/>
    <col width="21.7109375" customWidth="1" style="2" min="10774" max="10774"/>
    <col width="9.140625" customWidth="1" style="2" min="10775" max="11008"/>
    <col width="13.5703125" customWidth="1" style="2" min="11009" max="11009"/>
    <col width="11" customWidth="1" style="2" min="11010" max="11010"/>
    <col width="3.28515625" customWidth="1" style="2" min="11011" max="11011"/>
    <col width="9.140625" customWidth="1" style="2" min="11012" max="11012"/>
    <col width="2.42578125" customWidth="1" style="2" min="11013" max="11013"/>
    <col width="3.28515625" customWidth="1" style="2" min="11014" max="11014"/>
    <col width="5" customWidth="1" style="2" min="11015" max="11015"/>
    <col width="4.42578125" customWidth="1" style="2" min="11016" max="11016"/>
    <col width="5" customWidth="1" style="2" min="11017" max="11017"/>
    <col width="3.28515625" customWidth="1" style="2" min="11018" max="11020"/>
    <col width="5" customWidth="1" style="2" min="11021" max="11021"/>
    <col width="3.28515625" customWidth="1" style="2" min="11022" max="11022"/>
    <col width="5" customWidth="1" style="2" min="11023" max="11023"/>
    <col width="3.28515625" customWidth="1" style="2" min="11024" max="11025"/>
    <col width="2.42578125" customWidth="1" style="2" min="11026" max="11026"/>
    <col width="7.5703125" customWidth="1" style="2" min="11027" max="11027"/>
    <col width="9.140625" customWidth="1" style="2" min="11028" max="11029"/>
    <col width="21.7109375" customWidth="1" style="2" min="11030" max="11030"/>
    <col width="9.140625" customWidth="1" style="2" min="11031" max="11264"/>
    <col width="13.5703125" customWidth="1" style="2" min="11265" max="11265"/>
    <col width="11" customWidth="1" style="2" min="11266" max="11266"/>
    <col width="3.28515625" customWidth="1" style="2" min="11267" max="11267"/>
    <col width="9.140625" customWidth="1" style="2" min="11268" max="11268"/>
    <col width="2.42578125" customWidth="1" style="2" min="11269" max="11269"/>
    <col width="3.28515625" customWidth="1" style="2" min="11270" max="11270"/>
    <col width="5" customWidth="1" style="2" min="11271" max="11271"/>
    <col width="4.42578125" customWidth="1" style="2" min="11272" max="11272"/>
    <col width="5" customWidth="1" style="2" min="11273" max="11273"/>
    <col width="3.28515625" customWidth="1" style="2" min="11274" max="11276"/>
    <col width="5" customWidth="1" style="2" min="11277" max="11277"/>
    <col width="3.28515625" customWidth="1" style="2" min="11278" max="11278"/>
    <col width="5" customWidth="1" style="2" min="11279" max="11279"/>
    <col width="3.28515625" customWidth="1" style="2" min="11280" max="11281"/>
    <col width="2.42578125" customWidth="1" style="2" min="11282" max="11282"/>
    <col width="7.5703125" customWidth="1" style="2" min="11283" max="11283"/>
    <col width="9.140625" customWidth="1" style="2" min="11284" max="11285"/>
    <col width="21.7109375" customWidth="1" style="2" min="11286" max="11286"/>
    <col width="9.140625" customWidth="1" style="2" min="11287" max="11520"/>
    <col width="13.5703125" customWidth="1" style="2" min="11521" max="11521"/>
    <col width="11" customWidth="1" style="2" min="11522" max="11522"/>
    <col width="3.28515625" customWidth="1" style="2" min="11523" max="11523"/>
    <col width="9.140625" customWidth="1" style="2" min="11524" max="11524"/>
    <col width="2.42578125" customWidth="1" style="2" min="11525" max="11525"/>
    <col width="3.28515625" customWidth="1" style="2" min="11526" max="11526"/>
    <col width="5" customWidth="1" style="2" min="11527" max="11527"/>
    <col width="4.42578125" customWidth="1" style="2" min="11528" max="11528"/>
    <col width="5" customWidth="1" style="2" min="11529" max="11529"/>
    <col width="3.28515625" customWidth="1" style="2" min="11530" max="11532"/>
    <col width="5" customWidth="1" style="2" min="11533" max="11533"/>
    <col width="3.28515625" customWidth="1" style="2" min="11534" max="11534"/>
    <col width="5" customWidth="1" style="2" min="11535" max="11535"/>
    <col width="3.28515625" customWidth="1" style="2" min="11536" max="11537"/>
    <col width="2.42578125" customWidth="1" style="2" min="11538" max="11538"/>
    <col width="7.5703125" customWidth="1" style="2" min="11539" max="11539"/>
    <col width="9.140625" customWidth="1" style="2" min="11540" max="11541"/>
    <col width="21.7109375" customWidth="1" style="2" min="11542" max="11542"/>
    <col width="9.140625" customWidth="1" style="2" min="11543" max="11776"/>
    <col width="13.5703125" customWidth="1" style="2" min="11777" max="11777"/>
    <col width="11" customWidth="1" style="2" min="11778" max="11778"/>
    <col width="3.28515625" customWidth="1" style="2" min="11779" max="11779"/>
    <col width="9.140625" customWidth="1" style="2" min="11780" max="11780"/>
    <col width="2.42578125" customWidth="1" style="2" min="11781" max="11781"/>
    <col width="3.28515625" customWidth="1" style="2" min="11782" max="11782"/>
    <col width="5" customWidth="1" style="2" min="11783" max="11783"/>
    <col width="4.42578125" customWidth="1" style="2" min="11784" max="11784"/>
    <col width="5" customWidth="1" style="2" min="11785" max="11785"/>
    <col width="3.28515625" customWidth="1" style="2" min="11786" max="11788"/>
    <col width="5" customWidth="1" style="2" min="11789" max="11789"/>
    <col width="3.28515625" customWidth="1" style="2" min="11790" max="11790"/>
    <col width="5" customWidth="1" style="2" min="11791" max="11791"/>
    <col width="3.28515625" customWidth="1" style="2" min="11792" max="11793"/>
    <col width="2.42578125" customWidth="1" style="2" min="11794" max="11794"/>
    <col width="7.5703125" customWidth="1" style="2" min="11795" max="11795"/>
    <col width="9.140625" customWidth="1" style="2" min="11796" max="11797"/>
    <col width="21.7109375" customWidth="1" style="2" min="11798" max="11798"/>
    <col width="9.140625" customWidth="1" style="2" min="11799" max="12032"/>
    <col width="13.5703125" customWidth="1" style="2" min="12033" max="12033"/>
    <col width="11" customWidth="1" style="2" min="12034" max="12034"/>
    <col width="3.28515625" customWidth="1" style="2" min="12035" max="12035"/>
    <col width="9.140625" customWidth="1" style="2" min="12036" max="12036"/>
    <col width="2.42578125" customWidth="1" style="2" min="12037" max="12037"/>
    <col width="3.28515625" customWidth="1" style="2" min="12038" max="12038"/>
    <col width="5" customWidth="1" style="2" min="12039" max="12039"/>
    <col width="4.42578125" customWidth="1" style="2" min="12040" max="12040"/>
    <col width="5" customWidth="1" style="2" min="12041" max="12041"/>
    <col width="3.28515625" customWidth="1" style="2" min="12042" max="12044"/>
    <col width="5" customWidth="1" style="2" min="12045" max="12045"/>
    <col width="3.28515625" customWidth="1" style="2" min="12046" max="12046"/>
    <col width="5" customWidth="1" style="2" min="12047" max="12047"/>
    <col width="3.28515625" customWidth="1" style="2" min="12048" max="12049"/>
    <col width="2.42578125" customWidth="1" style="2" min="12050" max="12050"/>
    <col width="7.5703125" customWidth="1" style="2" min="12051" max="12051"/>
    <col width="9.140625" customWidth="1" style="2" min="12052" max="12053"/>
    <col width="21.7109375" customWidth="1" style="2" min="12054" max="12054"/>
    <col width="9.140625" customWidth="1" style="2" min="12055" max="12288"/>
    <col width="13.5703125" customWidth="1" style="2" min="12289" max="12289"/>
    <col width="11" customWidth="1" style="2" min="12290" max="12290"/>
    <col width="3.28515625" customWidth="1" style="2" min="12291" max="12291"/>
    <col width="9.140625" customWidth="1" style="2" min="12292" max="12292"/>
    <col width="2.42578125" customWidth="1" style="2" min="12293" max="12293"/>
    <col width="3.28515625" customWidth="1" style="2" min="12294" max="12294"/>
    <col width="5" customWidth="1" style="2" min="12295" max="12295"/>
    <col width="4.42578125" customWidth="1" style="2" min="12296" max="12296"/>
    <col width="5" customWidth="1" style="2" min="12297" max="12297"/>
    <col width="3.28515625" customWidth="1" style="2" min="12298" max="12300"/>
    <col width="5" customWidth="1" style="2" min="12301" max="12301"/>
    <col width="3.28515625" customWidth="1" style="2" min="12302" max="12302"/>
    <col width="5" customWidth="1" style="2" min="12303" max="12303"/>
    <col width="3.28515625" customWidth="1" style="2" min="12304" max="12305"/>
    <col width="2.42578125" customWidth="1" style="2" min="12306" max="12306"/>
    <col width="7.5703125" customWidth="1" style="2" min="12307" max="12307"/>
    <col width="9.140625" customWidth="1" style="2" min="12308" max="12309"/>
    <col width="21.7109375" customWidth="1" style="2" min="12310" max="12310"/>
    <col width="9.140625" customWidth="1" style="2" min="12311" max="12544"/>
    <col width="13.5703125" customWidth="1" style="2" min="12545" max="12545"/>
    <col width="11" customWidth="1" style="2" min="12546" max="12546"/>
    <col width="3.28515625" customWidth="1" style="2" min="12547" max="12547"/>
    <col width="9.140625" customWidth="1" style="2" min="12548" max="12548"/>
    <col width="2.42578125" customWidth="1" style="2" min="12549" max="12549"/>
    <col width="3.28515625" customWidth="1" style="2" min="12550" max="12550"/>
    <col width="5" customWidth="1" style="2" min="12551" max="12551"/>
    <col width="4.42578125" customWidth="1" style="2" min="12552" max="12552"/>
    <col width="5" customWidth="1" style="2" min="12553" max="12553"/>
    <col width="3.28515625" customWidth="1" style="2" min="12554" max="12556"/>
    <col width="5" customWidth="1" style="2" min="12557" max="12557"/>
    <col width="3.28515625" customWidth="1" style="2" min="12558" max="12558"/>
    <col width="5" customWidth="1" style="2" min="12559" max="12559"/>
    <col width="3.28515625" customWidth="1" style="2" min="12560" max="12561"/>
    <col width="2.42578125" customWidth="1" style="2" min="12562" max="12562"/>
    <col width="7.5703125" customWidth="1" style="2" min="12563" max="12563"/>
    <col width="9.140625" customWidth="1" style="2" min="12564" max="12565"/>
    <col width="21.7109375" customWidth="1" style="2" min="12566" max="12566"/>
    <col width="9.140625" customWidth="1" style="2" min="12567" max="12800"/>
    <col width="13.5703125" customWidth="1" style="2" min="12801" max="12801"/>
    <col width="11" customWidth="1" style="2" min="12802" max="12802"/>
    <col width="3.28515625" customWidth="1" style="2" min="12803" max="12803"/>
    <col width="9.140625" customWidth="1" style="2" min="12804" max="12804"/>
    <col width="2.42578125" customWidth="1" style="2" min="12805" max="12805"/>
    <col width="3.28515625" customWidth="1" style="2" min="12806" max="12806"/>
    <col width="5" customWidth="1" style="2" min="12807" max="12807"/>
    <col width="4.42578125" customWidth="1" style="2" min="12808" max="12808"/>
    <col width="5" customWidth="1" style="2" min="12809" max="12809"/>
    <col width="3.28515625" customWidth="1" style="2" min="12810" max="12812"/>
    <col width="5" customWidth="1" style="2" min="12813" max="12813"/>
    <col width="3.28515625" customWidth="1" style="2" min="12814" max="12814"/>
    <col width="5" customWidth="1" style="2" min="12815" max="12815"/>
    <col width="3.28515625" customWidth="1" style="2" min="12816" max="12817"/>
    <col width="2.42578125" customWidth="1" style="2" min="12818" max="12818"/>
    <col width="7.5703125" customWidth="1" style="2" min="12819" max="12819"/>
    <col width="9.140625" customWidth="1" style="2" min="12820" max="12821"/>
    <col width="21.7109375" customWidth="1" style="2" min="12822" max="12822"/>
    <col width="9.140625" customWidth="1" style="2" min="12823" max="13056"/>
    <col width="13.5703125" customWidth="1" style="2" min="13057" max="13057"/>
    <col width="11" customWidth="1" style="2" min="13058" max="13058"/>
    <col width="3.28515625" customWidth="1" style="2" min="13059" max="13059"/>
    <col width="9.140625" customWidth="1" style="2" min="13060" max="13060"/>
    <col width="2.42578125" customWidth="1" style="2" min="13061" max="13061"/>
    <col width="3.28515625" customWidth="1" style="2" min="13062" max="13062"/>
    <col width="5" customWidth="1" style="2" min="13063" max="13063"/>
    <col width="4.42578125" customWidth="1" style="2" min="13064" max="13064"/>
    <col width="5" customWidth="1" style="2" min="13065" max="13065"/>
    <col width="3.28515625" customWidth="1" style="2" min="13066" max="13068"/>
    <col width="5" customWidth="1" style="2" min="13069" max="13069"/>
    <col width="3.28515625" customWidth="1" style="2" min="13070" max="13070"/>
    <col width="5" customWidth="1" style="2" min="13071" max="13071"/>
    <col width="3.28515625" customWidth="1" style="2" min="13072" max="13073"/>
    <col width="2.42578125" customWidth="1" style="2" min="13074" max="13074"/>
    <col width="7.5703125" customWidth="1" style="2" min="13075" max="13075"/>
    <col width="9.140625" customWidth="1" style="2" min="13076" max="13077"/>
    <col width="21.7109375" customWidth="1" style="2" min="13078" max="13078"/>
    <col width="9.140625" customWidth="1" style="2" min="13079" max="13312"/>
    <col width="13.5703125" customWidth="1" style="2" min="13313" max="13313"/>
    <col width="11" customWidth="1" style="2" min="13314" max="13314"/>
    <col width="3.28515625" customWidth="1" style="2" min="13315" max="13315"/>
    <col width="9.140625" customWidth="1" style="2" min="13316" max="13316"/>
    <col width="2.42578125" customWidth="1" style="2" min="13317" max="13317"/>
    <col width="3.28515625" customWidth="1" style="2" min="13318" max="13318"/>
    <col width="5" customWidth="1" style="2" min="13319" max="13319"/>
    <col width="4.42578125" customWidth="1" style="2" min="13320" max="13320"/>
    <col width="5" customWidth="1" style="2" min="13321" max="13321"/>
    <col width="3.28515625" customWidth="1" style="2" min="13322" max="13324"/>
    <col width="5" customWidth="1" style="2" min="13325" max="13325"/>
    <col width="3.28515625" customWidth="1" style="2" min="13326" max="13326"/>
    <col width="5" customWidth="1" style="2" min="13327" max="13327"/>
    <col width="3.28515625" customWidth="1" style="2" min="13328" max="13329"/>
    <col width="2.42578125" customWidth="1" style="2" min="13330" max="13330"/>
    <col width="7.5703125" customWidth="1" style="2" min="13331" max="13331"/>
    <col width="9.140625" customWidth="1" style="2" min="13332" max="13333"/>
    <col width="21.7109375" customWidth="1" style="2" min="13334" max="13334"/>
    <col width="9.140625" customWidth="1" style="2" min="13335" max="13568"/>
    <col width="13.5703125" customWidth="1" style="2" min="13569" max="13569"/>
    <col width="11" customWidth="1" style="2" min="13570" max="13570"/>
    <col width="3.28515625" customWidth="1" style="2" min="13571" max="13571"/>
    <col width="9.140625" customWidth="1" style="2" min="13572" max="13572"/>
    <col width="2.42578125" customWidth="1" style="2" min="13573" max="13573"/>
    <col width="3.28515625" customWidth="1" style="2" min="13574" max="13574"/>
    <col width="5" customWidth="1" style="2" min="13575" max="13575"/>
    <col width="4.42578125" customWidth="1" style="2" min="13576" max="13576"/>
    <col width="5" customWidth="1" style="2" min="13577" max="13577"/>
    <col width="3.28515625" customWidth="1" style="2" min="13578" max="13580"/>
    <col width="5" customWidth="1" style="2" min="13581" max="13581"/>
    <col width="3.28515625" customWidth="1" style="2" min="13582" max="13582"/>
    <col width="5" customWidth="1" style="2" min="13583" max="13583"/>
    <col width="3.28515625" customWidth="1" style="2" min="13584" max="13585"/>
    <col width="2.42578125" customWidth="1" style="2" min="13586" max="13586"/>
    <col width="7.5703125" customWidth="1" style="2" min="13587" max="13587"/>
    <col width="9.140625" customWidth="1" style="2" min="13588" max="13589"/>
    <col width="21.7109375" customWidth="1" style="2" min="13590" max="13590"/>
    <col width="9.140625" customWidth="1" style="2" min="13591" max="13824"/>
    <col width="13.5703125" customWidth="1" style="2" min="13825" max="13825"/>
    <col width="11" customWidth="1" style="2" min="13826" max="13826"/>
    <col width="3.28515625" customWidth="1" style="2" min="13827" max="13827"/>
    <col width="9.140625" customWidth="1" style="2" min="13828" max="13828"/>
    <col width="2.42578125" customWidth="1" style="2" min="13829" max="13829"/>
    <col width="3.28515625" customWidth="1" style="2" min="13830" max="13830"/>
    <col width="5" customWidth="1" style="2" min="13831" max="13831"/>
    <col width="4.42578125" customWidth="1" style="2" min="13832" max="13832"/>
    <col width="5" customWidth="1" style="2" min="13833" max="13833"/>
    <col width="3.28515625" customWidth="1" style="2" min="13834" max="13836"/>
    <col width="5" customWidth="1" style="2" min="13837" max="13837"/>
    <col width="3.28515625" customWidth="1" style="2" min="13838" max="13838"/>
    <col width="5" customWidth="1" style="2" min="13839" max="13839"/>
    <col width="3.28515625" customWidth="1" style="2" min="13840" max="13841"/>
    <col width="2.42578125" customWidth="1" style="2" min="13842" max="13842"/>
    <col width="7.5703125" customWidth="1" style="2" min="13843" max="13843"/>
    <col width="9.140625" customWidth="1" style="2" min="13844" max="13845"/>
    <col width="21.7109375" customWidth="1" style="2" min="13846" max="13846"/>
    <col width="9.140625" customWidth="1" style="2" min="13847" max="14080"/>
    <col width="13.5703125" customWidth="1" style="2" min="14081" max="14081"/>
    <col width="11" customWidth="1" style="2" min="14082" max="14082"/>
    <col width="3.28515625" customWidth="1" style="2" min="14083" max="14083"/>
    <col width="9.140625" customWidth="1" style="2" min="14084" max="14084"/>
    <col width="2.42578125" customWidth="1" style="2" min="14085" max="14085"/>
    <col width="3.28515625" customWidth="1" style="2" min="14086" max="14086"/>
    <col width="5" customWidth="1" style="2" min="14087" max="14087"/>
    <col width="4.42578125" customWidth="1" style="2" min="14088" max="14088"/>
    <col width="5" customWidth="1" style="2" min="14089" max="14089"/>
    <col width="3.28515625" customWidth="1" style="2" min="14090" max="14092"/>
    <col width="5" customWidth="1" style="2" min="14093" max="14093"/>
    <col width="3.28515625" customWidth="1" style="2" min="14094" max="14094"/>
    <col width="5" customWidth="1" style="2" min="14095" max="14095"/>
    <col width="3.28515625" customWidth="1" style="2" min="14096" max="14097"/>
    <col width="2.42578125" customWidth="1" style="2" min="14098" max="14098"/>
    <col width="7.5703125" customWidth="1" style="2" min="14099" max="14099"/>
    <col width="9.140625" customWidth="1" style="2" min="14100" max="14101"/>
    <col width="21.7109375" customWidth="1" style="2" min="14102" max="14102"/>
    <col width="9.140625" customWidth="1" style="2" min="14103" max="14336"/>
    <col width="13.5703125" customWidth="1" style="2" min="14337" max="14337"/>
    <col width="11" customWidth="1" style="2" min="14338" max="14338"/>
    <col width="3.28515625" customWidth="1" style="2" min="14339" max="14339"/>
    <col width="9.140625" customWidth="1" style="2" min="14340" max="14340"/>
    <col width="2.42578125" customWidth="1" style="2" min="14341" max="14341"/>
    <col width="3.28515625" customWidth="1" style="2" min="14342" max="14342"/>
    <col width="5" customWidth="1" style="2" min="14343" max="14343"/>
    <col width="4.42578125" customWidth="1" style="2" min="14344" max="14344"/>
    <col width="5" customWidth="1" style="2" min="14345" max="14345"/>
    <col width="3.28515625" customWidth="1" style="2" min="14346" max="14348"/>
    <col width="5" customWidth="1" style="2" min="14349" max="14349"/>
    <col width="3.28515625" customWidth="1" style="2" min="14350" max="14350"/>
    <col width="5" customWidth="1" style="2" min="14351" max="14351"/>
    <col width="3.28515625" customWidth="1" style="2" min="14352" max="14353"/>
    <col width="2.42578125" customWidth="1" style="2" min="14354" max="14354"/>
    <col width="7.5703125" customWidth="1" style="2" min="14355" max="14355"/>
    <col width="9.140625" customWidth="1" style="2" min="14356" max="14357"/>
    <col width="21.7109375" customWidth="1" style="2" min="14358" max="14358"/>
    <col width="9.140625" customWidth="1" style="2" min="14359" max="14592"/>
    <col width="13.5703125" customWidth="1" style="2" min="14593" max="14593"/>
    <col width="11" customWidth="1" style="2" min="14594" max="14594"/>
    <col width="3.28515625" customWidth="1" style="2" min="14595" max="14595"/>
    <col width="9.140625" customWidth="1" style="2" min="14596" max="14596"/>
    <col width="2.42578125" customWidth="1" style="2" min="14597" max="14597"/>
    <col width="3.28515625" customWidth="1" style="2" min="14598" max="14598"/>
    <col width="5" customWidth="1" style="2" min="14599" max="14599"/>
    <col width="4.42578125" customWidth="1" style="2" min="14600" max="14600"/>
    <col width="5" customWidth="1" style="2" min="14601" max="14601"/>
    <col width="3.28515625" customWidth="1" style="2" min="14602" max="14604"/>
    <col width="5" customWidth="1" style="2" min="14605" max="14605"/>
    <col width="3.28515625" customWidth="1" style="2" min="14606" max="14606"/>
    <col width="5" customWidth="1" style="2" min="14607" max="14607"/>
    <col width="3.28515625" customWidth="1" style="2" min="14608" max="14609"/>
    <col width="2.42578125" customWidth="1" style="2" min="14610" max="14610"/>
    <col width="7.5703125" customWidth="1" style="2" min="14611" max="14611"/>
    <col width="9.140625" customWidth="1" style="2" min="14612" max="14613"/>
    <col width="21.7109375" customWidth="1" style="2" min="14614" max="14614"/>
    <col width="9.140625" customWidth="1" style="2" min="14615" max="14848"/>
    <col width="13.5703125" customWidth="1" style="2" min="14849" max="14849"/>
    <col width="11" customWidth="1" style="2" min="14850" max="14850"/>
    <col width="3.28515625" customWidth="1" style="2" min="14851" max="14851"/>
    <col width="9.140625" customWidth="1" style="2" min="14852" max="14852"/>
    <col width="2.42578125" customWidth="1" style="2" min="14853" max="14853"/>
    <col width="3.28515625" customWidth="1" style="2" min="14854" max="14854"/>
    <col width="5" customWidth="1" style="2" min="14855" max="14855"/>
    <col width="4.42578125" customWidth="1" style="2" min="14856" max="14856"/>
    <col width="5" customWidth="1" style="2" min="14857" max="14857"/>
    <col width="3.28515625" customWidth="1" style="2" min="14858" max="14860"/>
    <col width="5" customWidth="1" style="2" min="14861" max="14861"/>
    <col width="3.28515625" customWidth="1" style="2" min="14862" max="14862"/>
    <col width="5" customWidth="1" style="2" min="14863" max="14863"/>
    <col width="3.28515625" customWidth="1" style="2" min="14864" max="14865"/>
    <col width="2.42578125" customWidth="1" style="2" min="14866" max="14866"/>
    <col width="7.5703125" customWidth="1" style="2" min="14867" max="14867"/>
    <col width="9.140625" customWidth="1" style="2" min="14868" max="14869"/>
    <col width="21.7109375" customWidth="1" style="2" min="14870" max="14870"/>
    <col width="9.140625" customWidth="1" style="2" min="14871" max="15104"/>
    <col width="13.5703125" customWidth="1" style="2" min="15105" max="15105"/>
    <col width="11" customWidth="1" style="2" min="15106" max="15106"/>
    <col width="3.28515625" customWidth="1" style="2" min="15107" max="15107"/>
    <col width="9.140625" customWidth="1" style="2" min="15108" max="15108"/>
    <col width="2.42578125" customWidth="1" style="2" min="15109" max="15109"/>
    <col width="3.28515625" customWidth="1" style="2" min="15110" max="15110"/>
    <col width="5" customWidth="1" style="2" min="15111" max="15111"/>
    <col width="4.42578125" customWidth="1" style="2" min="15112" max="15112"/>
    <col width="5" customWidth="1" style="2" min="15113" max="15113"/>
    <col width="3.28515625" customWidth="1" style="2" min="15114" max="15116"/>
    <col width="5" customWidth="1" style="2" min="15117" max="15117"/>
    <col width="3.28515625" customWidth="1" style="2" min="15118" max="15118"/>
    <col width="5" customWidth="1" style="2" min="15119" max="15119"/>
    <col width="3.28515625" customWidth="1" style="2" min="15120" max="15121"/>
    <col width="2.42578125" customWidth="1" style="2" min="15122" max="15122"/>
    <col width="7.5703125" customWidth="1" style="2" min="15123" max="15123"/>
    <col width="9.140625" customWidth="1" style="2" min="15124" max="15125"/>
    <col width="21.7109375" customWidth="1" style="2" min="15126" max="15126"/>
    <col width="9.140625" customWidth="1" style="2" min="15127" max="15360"/>
    <col width="13.5703125" customWidth="1" style="2" min="15361" max="15361"/>
    <col width="11" customWidth="1" style="2" min="15362" max="15362"/>
    <col width="3.28515625" customWidth="1" style="2" min="15363" max="15363"/>
    <col width="9.140625" customWidth="1" style="2" min="15364" max="15364"/>
    <col width="2.42578125" customWidth="1" style="2" min="15365" max="15365"/>
    <col width="3.28515625" customWidth="1" style="2" min="15366" max="15366"/>
    <col width="5" customWidth="1" style="2" min="15367" max="15367"/>
    <col width="4.42578125" customWidth="1" style="2" min="15368" max="15368"/>
    <col width="5" customWidth="1" style="2" min="15369" max="15369"/>
    <col width="3.28515625" customWidth="1" style="2" min="15370" max="15372"/>
    <col width="5" customWidth="1" style="2" min="15373" max="15373"/>
    <col width="3.28515625" customWidth="1" style="2" min="15374" max="15374"/>
    <col width="5" customWidth="1" style="2" min="15375" max="15375"/>
    <col width="3.28515625" customWidth="1" style="2" min="15376" max="15377"/>
    <col width="2.42578125" customWidth="1" style="2" min="15378" max="15378"/>
    <col width="7.5703125" customWidth="1" style="2" min="15379" max="15379"/>
    <col width="9.140625" customWidth="1" style="2" min="15380" max="15381"/>
    <col width="21.7109375" customWidth="1" style="2" min="15382" max="15382"/>
    <col width="9.140625" customWidth="1" style="2" min="15383" max="15616"/>
    <col width="13.5703125" customWidth="1" style="2" min="15617" max="15617"/>
    <col width="11" customWidth="1" style="2" min="15618" max="15618"/>
    <col width="3.28515625" customWidth="1" style="2" min="15619" max="15619"/>
    <col width="9.140625" customWidth="1" style="2" min="15620" max="15620"/>
    <col width="2.42578125" customWidth="1" style="2" min="15621" max="15621"/>
    <col width="3.28515625" customWidth="1" style="2" min="15622" max="15622"/>
    <col width="5" customWidth="1" style="2" min="15623" max="15623"/>
    <col width="4.42578125" customWidth="1" style="2" min="15624" max="15624"/>
    <col width="5" customWidth="1" style="2" min="15625" max="15625"/>
    <col width="3.28515625" customWidth="1" style="2" min="15626" max="15628"/>
    <col width="5" customWidth="1" style="2" min="15629" max="15629"/>
    <col width="3.28515625" customWidth="1" style="2" min="15630" max="15630"/>
    <col width="5" customWidth="1" style="2" min="15631" max="15631"/>
    <col width="3.28515625" customWidth="1" style="2" min="15632" max="15633"/>
    <col width="2.42578125" customWidth="1" style="2" min="15634" max="15634"/>
    <col width="7.5703125" customWidth="1" style="2" min="15635" max="15635"/>
    <col width="9.140625" customWidth="1" style="2" min="15636" max="15637"/>
    <col width="21.7109375" customWidth="1" style="2" min="15638" max="15638"/>
    <col width="9.140625" customWidth="1" style="2" min="15639" max="15872"/>
    <col width="13.5703125" customWidth="1" style="2" min="15873" max="15873"/>
    <col width="11" customWidth="1" style="2" min="15874" max="15874"/>
    <col width="3.28515625" customWidth="1" style="2" min="15875" max="15875"/>
    <col width="9.140625" customWidth="1" style="2" min="15876" max="15876"/>
    <col width="2.42578125" customWidth="1" style="2" min="15877" max="15877"/>
    <col width="3.28515625" customWidth="1" style="2" min="15878" max="15878"/>
    <col width="5" customWidth="1" style="2" min="15879" max="15879"/>
    <col width="4.42578125" customWidth="1" style="2" min="15880" max="15880"/>
    <col width="5" customWidth="1" style="2" min="15881" max="15881"/>
    <col width="3.28515625" customWidth="1" style="2" min="15882" max="15884"/>
    <col width="5" customWidth="1" style="2" min="15885" max="15885"/>
    <col width="3.28515625" customWidth="1" style="2" min="15886" max="15886"/>
    <col width="5" customWidth="1" style="2" min="15887" max="15887"/>
    <col width="3.28515625" customWidth="1" style="2" min="15888" max="15889"/>
    <col width="2.42578125" customWidth="1" style="2" min="15890" max="15890"/>
    <col width="7.5703125" customWidth="1" style="2" min="15891" max="15891"/>
    <col width="9.140625" customWidth="1" style="2" min="15892" max="15893"/>
    <col width="21.7109375" customWidth="1" style="2" min="15894" max="15894"/>
    <col width="9.140625" customWidth="1" style="2" min="15895" max="16128"/>
    <col width="13.5703125" customWidth="1" style="2" min="16129" max="16129"/>
    <col width="11" customWidth="1" style="2" min="16130" max="16130"/>
    <col width="3.28515625" customWidth="1" style="2" min="16131" max="16131"/>
    <col width="9.140625" customWidth="1" style="2" min="16132" max="16132"/>
    <col width="2.42578125" customWidth="1" style="2" min="16133" max="16133"/>
    <col width="3.28515625" customWidth="1" style="2" min="16134" max="16134"/>
    <col width="5" customWidth="1" style="2" min="16135" max="16135"/>
    <col width="4.42578125" customWidth="1" style="2" min="16136" max="16136"/>
    <col width="5" customWidth="1" style="2" min="16137" max="16137"/>
    <col width="3.28515625" customWidth="1" style="2" min="16138" max="16140"/>
    <col width="5" customWidth="1" style="2" min="16141" max="16141"/>
    <col width="3.28515625" customWidth="1" style="2" min="16142" max="16142"/>
    <col width="5" customWidth="1" style="2" min="16143" max="16143"/>
    <col width="3.28515625" customWidth="1" style="2" min="16144" max="16145"/>
    <col width="2.42578125" customWidth="1" style="2" min="16146" max="16146"/>
    <col width="7.5703125" customWidth="1" style="2" min="16147" max="16147"/>
    <col width="9.140625" customWidth="1" style="2" min="16148" max="16149"/>
    <col width="21.7109375" customWidth="1" style="2" min="16150" max="16150"/>
    <col width="9.140625" customWidth="1" style="2" min="16151" max="16384"/>
  </cols>
  <sheetData>
    <row r="1" ht="26.25" customHeight="1">
      <c r="A1" s="383" t="inlineStr">
        <is>
          <t>วิธีคำนวณเทียบอัตราส่วนเพื่อหาค่า FACTOR F</t>
        </is>
      </c>
      <c r="S1" s="1" t="n"/>
    </row>
    <row r="2">
      <c r="A2" s="373" t="n"/>
    </row>
    <row r="4">
      <c r="A4" s="2" t="inlineStr">
        <is>
          <t>กรณีค่างานอยู่ระหว่างช่วงของค่างานต้นทุนที่กำหนดในตาราง Factor F ให้เทียบอัตราส่วน เพื่อหา Factor F  ดังนี้</t>
        </is>
      </c>
    </row>
    <row r="5">
      <c r="A5" s="3" t="inlineStr">
        <is>
          <t>สูตร</t>
        </is>
      </c>
      <c r="B5" s="2" t="inlineStr">
        <is>
          <t>ต้องการหาค่า Factor F ของค่างานต้นทุน</t>
        </is>
      </c>
      <c r="K5" s="4" t="inlineStr">
        <is>
          <t>=</t>
        </is>
      </c>
      <c r="O5" s="4" t="inlineStr">
        <is>
          <t>A</t>
        </is>
      </c>
      <c r="R5" s="2" t="inlineStr">
        <is>
          <t>บาท</t>
        </is>
      </c>
    </row>
    <row r="6">
      <c r="A6" s="3" t="inlineStr">
        <is>
          <t>สูตร</t>
        </is>
      </c>
      <c r="B6" s="377" t="inlineStr">
        <is>
          <t>ค่า Factor F</t>
        </is>
      </c>
      <c r="C6" s="378" t="inlineStr">
        <is>
          <t>=</t>
        </is>
      </c>
      <c r="D6" s="378" t="inlineStr">
        <is>
          <t>D-</t>
        </is>
      </c>
      <c r="F6" s="5" t="inlineStr">
        <is>
          <t>(</t>
        </is>
      </c>
      <c r="G6" s="380" t="inlineStr">
        <is>
          <t>D</t>
        </is>
      </c>
      <c r="H6" s="380" t="inlineStr">
        <is>
          <t>-</t>
        </is>
      </c>
      <c r="I6" s="380" t="inlineStr">
        <is>
          <t>E</t>
        </is>
      </c>
      <c r="J6" s="7" t="inlineStr">
        <is>
          <t>)</t>
        </is>
      </c>
      <c r="K6" s="8" t="n"/>
      <c r="L6" s="5" t="inlineStr">
        <is>
          <t>(</t>
        </is>
      </c>
      <c r="M6" s="380" t="inlineStr">
        <is>
          <t>A</t>
        </is>
      </c>
      <c r="N6" s="380" t="inlineStr">
        <is>
          <t>-</t>
        </is>
      </c>
      <c r="O6" s="380" t="inlineStr">
        <is>
          <t>B</t>
        </is>
      </c>
      <c r="P6" s="7" t="inlineStr">
        <is>
          <t>)</t>
        </is>
      </c>
    </row>
    <row r="7">
      <c r="A7" s="3" t="n"/>
      <c r="F7" s="3" t="n"/>
      <c r="G7" s="3" t="n"/>
      <c r="H7" s="3" t="inlineStr">
        <is>
          <t>(</t>
        </is>
      </c>
      <c r="I7" s="373" t="inlineStr">
        <is>
          <t>C</t>
        </is>
      </c>
      <c r="J7" s="3" t="n"/>
      <c r="K7" s="373" t="inlineStr">
        <is>
          <t>-</t>
        </is>
      </c>
      <c r="L7" s="3" t="n"/>
      <c r="M7" s="373" t="inlineStr">
        <is>
          <t>B</t>
        </is>
      </c>
      <c r="N7" s="10" t="inlineStr">
        <is>
          <t>)</t>
        </is>
      </c>
      <c r="O7" s="3" t="n"/>
      <c r="P7" s="3" t="n"/>
      <c r="Q7" s="3" t="n"/>
    </row>
    <row r="8">
      <c r="A8" s="3" t="n"/>
      <c r="B8" s="377" t="n"/>
      <c r="C8" s="378" t="n"/>
      <c r="D8" s="378" t="n"/>
      <c r="F8" s="3" t="n"/>
      <c r="G8" s="3" t="n"/>
      <c r="H8" s="3" t="n"/>
      <c r="I8" s="373" t="n"/>
      <c r="J8" s="3" t="n"/>
      <c r="K8" s="373" t="n"/>
      <c r="L8" s="3" t="n"/>
      <c r="M8" s="373" t="n"/>
      <c r="N8" s="10" t="n"/>
      <c r="O8" s="3" t="n"/>
      <c r="P8" s="3" t="n"/>
      <c r="Q8" s="3" t="n"/>
    </row>
    <row r="9">
      <c r="A9" s="3" t="inlineStr">
        <is>
          <t>ค่างานต้นทุน</t>
        </is>
      </c>
      <c r="B9" s="2" t="inlineStr">
        <is>
          <t>ค่าวัสดุและค่าแรงงาน</t>
        </is>
      </c>
      <c r="K9" s="4" t="inlineStr">
        <is>
          <t>=</t>
        </is>
      </c>
      <c r="N9" s="536">
        <f>'1.ปร.4'!F18</f>
        <v/>
      </c>
      <c r="O9" s="537" t="n"/>
      <c r="P9" s="537" t="n"/>
      <c r="Q9" s="537" t="n"/>
      <c r="R9" s="2" t="inlineStr">
        <is>
          <t>บาท</t>
        </is>
      </c>
    </row>
    <row r="10">
      <c r="K10" s="4" t="n"/>
      <c r="N10" s="538" t="n"/>
    </row>
    <row r="11">
      <c r="K11" s="4" t="n"/>
      <c r="P11" s="4" t="n"/>
    </row>
    <row r="12">
      <c r="B12" s="373" t="inlineStr">
        <is>
          <t>รวมเป็นเงินประมาณ</t>
        </is>
      </c>
      <c r="K12" s="373" t="inlineStr">
        <is>
          <t>=</t>
        </is>
      </c>
      <c r="N12" s="538">
        <f>N9</f>
        <v/>
      </c>
      <c r="R12" s="3" t="inlineStr">
        <is>
          <t>บาท</t>
        </is>
      </c>
    </row>
    <row r="14">
      <c r="A14" s="3" t="inlineStr">
        <is>
          <t>เงื่อนไข</t>
        </is>
      </c>
      <c r="B14" s="2" t="inlineStr">
        <is>
          <t>เงินล่วงหน้าจ่าย</t>
        </is>
      </c>
      <c r="E14" s="385" t="n">
        <v>0</v>
      </c>
      <c r="I14" s="2" t="inlineStr">
        <is>
          <t>ดอกเบี้ยเงินกู้</t>
        </is>
      </c>
      <c r="O14" s="385" t="n">
        <v>0.07000000000000001</v>
      </c>
      <c r="P14" s="2" t="inlineStr">
        <is>
          <t>ต่อปี</t>
        </is>
      </c>
    </row>
    <row r="15">
      <c r="B15" s="2" t="inlineStr">
        <is>
          <t>เงินประกันผลงานหัก</t>
        </is>
      </c>
      <c r="E15" s="385" t="n">
        <v>0</v>
      </c>
      <c r="I15" s="2" t="inlineStr">
        <is>
          <t>ภาษีมูลค่าเพิ่ม</t>
        </is>
      </c>
      <c r="O15" s="385" t="n">
        <v>0.07000000000000001</v>
      </c>
    </row>
    <row r="16">
      <c r="V16" s="539" t="n"/>
    </row>
    <row r="17">
      <c r="A17" s="3" t="inlineStr">
        <is>
          <t>เมื่อ</t>
        </is>
      </c>
      <c r="B17" s="2" t="inlineStr">
        <is>
          <t>ต้องการหาค่า Factor F ของค่างานต้นทุน</t>
        </is>
      </c>
      <c r="H17" s="4" t="inlineStr">
        <is>
          <t>=</t>
        </is>
      </c>
      <c r="I17" s="4" t="inlineStr">
        <is>
          <t>A</t>
        </is>
      </c>
      <c r="L17" s="4" t="inlineStr">
        <is>
          <t>=</t>
        </is>
      </c>
      <c r="N17" s="540">
        <f>N9</f>
        <v/>
      </c>
      <c r="R17" s="2" t="inlineStr">
        <is>
          <t>บาท</t>
        </is>
      </c>
    </row>
    <row r="18">
      <c r="B18" s="2" t="inlineStr">
        <is>
          <t>ค่างานต้นทุนตัวต่ำกว่าค่างานต้นทุน A</t>
        </is>
      </c>
      <c r="H18" s="4" t="inlineStr">
        <is>
          <t>=</t>
        </is>
      </c>
      <c r="I18" s="4" t="inlineStr">
        <is>
          <t>B</t>
        </is>
      </c>
      <c r="L18" s="4" t="inlineStr">
        <is>
          <t>=</t>
        </is>
      </c>
      <c r="N18" s="536" t="n">
        <v>2000000</v>
      </c>
      <c r="O18" s="537" t="n"/>
      <c r="P18" s="537" t="n"/>
      <c r="Q18" s="537" t="n"/>
      <c r="R18" s="2" t="inlineStr">
        <is>
          <t>บาท</t>
        </is>
      </c>
    </row>
    <row r="19">
      <c r="B19" s="2" t="inlineStr">
        <is>
          <t>ค่างานต้นทุนตัวสูงกว่าค่างานต้นทุน A</t>
        </is>
      </c>
      <c r="H19" s="4" t="inlineStr">
        <is>
          <t>=</t>
        </is>
      </c>
      <c r="I19" s="4" t="inlineStr">
        <is>
          <t>C</t>
        </is>
      </c>
      <c r="L19" s="4" t="inlineStr">
        <is>
          <t>=</t>
        </is>
      </c>
      <c r="N19" s="536" t="n">
        <v>5000000</v>
      </c>
      <c r="O19" s="537" t="n"/>
      <c r="P19" s="537" t="n"/>
      <c r="Q19" s="537" t="n"/>
      <c r="R19" s="2" t="inlineStr">
        <is>
          <t>บาท</t>
        </is>
      </c>
    </row>
    <row r="20">
      <c r="B20" s="2" t="inlineStr">
        <is>
          <t>ค่า Factor F ของค่างานต้นทุน B</t>
        </is>
      </c>
      <c r="H20" s="4" t="inlineStr">
        <is>
          <t>=</t>
        </is>
      </c>
      <c r="I20" s="4" t="inlineStr">
        <is>
          <t>D</t>
        </is>
      </c>
      <c r="L20" s="4" t="inlineStr">
        <is>
          <t>=</t>
        </is>
      </c>
      <c r="N20" s="541" t="n">
        <v>1.3051</v>
      </c>
      <c r="O20" s="537" t="n"/>
      <c r="P20" s="537" t="n"/>
      <c r="Q20" s="537" t="n"/>
    </row>
    <row r="21">
      <c r="B21" s="2" t="inlineStr">
        <is>
          <t>ค่า Factor F ของค่างานต้นทุน C</t>
        </is>
      </c>
      <c r="H21" s="4" t="inlineStr">
        <is>
          <t>=</t>
        </is>
      </c>
      <c r="I21" s="4" t="inlineStr">
        <is>
          <t>E</t>
        </is>
      </c>
      <c r="L21" s="4" t="inlineStr">
        <is>
          <t>=</t>
        </is>
      </c>
      <c r="N21" s="541" t="n">
        <v>1.302</v>
      </c>
      <c r="O21" s="537" t="n"/>
      <c r="P21" s="537" t="n"/>
      <c r="Q21" s="537" t="n"/>
    </row>
    <row r="23">
      <c r="A23" s="377" t="inlineStr">
        <is>
          <t>แทนค่าสูตร</t>
        </is>
      </c>
      <c r="B23" s="377" t="inlineStr">
        <is>
          <t>ค่า Factor F</t>
        </is>
      </c>
      <c r="C23" s="378" t="inlineStr">
        <is>
          <t>=</t>
        </is>
      </c>
      <c r="D23" s="542">
        <f>N20&amp;"-"</f>
        <v/>
      </c>
      <c r="F23" s="380">
        <f>"("&amp;N20&amp;"-"&amp;N21&amp;")"</f>
        <v/>
      </c>
      <c r="G23" s="543" t="n"/>
      <c r="H23" s="543" t="n"/>
      <c r="I23" s="543" t="n"/>
      <c r="J23" s="380" t="inlineStr">
        <is>
          <t>x</t>
        </is>
      </c>
      <c r="K23" s="376">
        <f>"("&amp;TEXT(N17,"#,##0.00")&amp;"-"&amp;TEXT(N18,"#,##0.00")&amp;")"</f>
        <v/>
      </c>
      <c r="L23" s="543" t="n"/>
      <c r="M23" s="543" t="n"/>
      <c r="N23" s="543" t="n"/>
      <c r="O23" s="543" t="n"/>
      <c r="P23" s="543" t="n"/>
      <c r="Q23" s="543" t="n"/>
    </row>
    <row r="24">
      <c r="F24" s="3" t="n"/>
      <c r="G24" s="3" t="n"/>
      <c r="H24" s="381">
        <f>"("&amp;TEXT(N19,"#,##0.00")&amp;"-"&amp;TEXT(N18,"#,##0.00")&amp;")"</f>
        <v/>
      </c>
      <c r="I24" s="544" t="n"/>
      <c r="J24" s="544" t="n"/>
      <c r="K24" s="544" t="n"/>
      <c r="L24" s="544" t="n"/>
      <c r="M24" s="544" t="n"/>
      <c r="N24" s="544" t="n"/>
      <c r="O24" s="3" t="n"/>
      <c r="P24" s="3" t="n"/>
      <c r="Q24" s="3" t="n"/>
    </row>
    <row r="25" ht="21.75" customHeight="1" thickBot="1">
      <c r="C25" s="15" t="n"/>
    </row>
    <row r="26" ht="21.75" customHeight="1" thickBot="1">
      <c r="B26" s="3" t="inlineStr">
        <is>
          <t>ค่าFactor F</t>
        </is>
      </c>
      <c r="C26" s="16" t="inlineStr">
        <is>
          <t>=</t>
        </is>
      </c>
      <c r="D26" s="545">
        <f>D23</f>
        <v/>
      </c>
      <c r="E26" s="546">
        <f>(((N20-N21)*(N17-N18))/(N19-N18))</f>
        <v/>
      </c>
      <c r="I26" s="547" t="n"/>
      <c r="J26" s="547" t="n"/>
      <c r="K26" s="547" t="n"/>
      <c r="N26" s="548">
        <f>FLOOR(V26,0.0001)</f>
        <v/>
      </c>
      <c r="O26" s="549" t="n"/>
      <c r="P26" s="549" t="n"/>
      <c r="Q26" s="550" t="n"/>
      <c r="V26" s="551">
        <f>N20-E26</f>
        <v/>
      </c>
    </row>
    <row r="27">
      <c r="Q27" s="552">
        <f>N26</f>
        <v/>
      </c>
    </row>
    <row r="28">
      <c r="M28" s="373" t="n"/>
    </row>
    <row r="29">
      <c r="B29" s="21" t="n"/>
      <c r="C29" s="21" t="n"/>
      <c r="D29" s="21" t="n"/>
      <c r="E29" s="21" t="n"/>
      <c r="F29" s="21" t="n"/>
      <c r="G29" s="21" t="n"/>
      <c r="H29" s="21" t="n"/>
      <c r="L29" s="21" t="n"/>
      <c r="M29" s="21" t="n"/>
      <c r="N29" s="21" t="n"/>
      <c r="O29" s="21" t="n"/>
      <c r="P29" s="21" t="n"/>
      <c r="Q29" s="21" t="n"/>
      <c r="R29" s="21" t="n"/>
      <c r="S29" s="373" t="n"/>
      <c r="T29" s="3" t="n"/>
      <c r="AC29" s="21" t="n"/>
      <c r="AD29" s="373" t="n"/>
    </row>
    <row r="31">
      <c r="B31" s="22" t="n"/>
      <c r="C31" s="22" t="n"/>
      <c r="L31" s="22" t="n"/>
      <c r="M31" s="22" t="n"/>
    </row>
    <row r="33">
      <c r="B33" s="21" t="n"/>
      <c r="C33" s="21" t="n"/>
      <c r="D33" s="21" t="n"/>
      <c r="E33" s="21" t="n"/>
      <c r="F33" s="21" t="n"/>
      <c r="G33" s="21" t="n"/>
      <c r="H33" s="21" t="n"/>
      <c r="L33" s="21" t="n"/>
      <c r="M33" s="21" t="n"/>
      <c r="N33" s="21" t="n"/>
      <c r="O33" s="21" t="n"/>
      <c r="P33" s="21" t="n"/>
      <c r="Q33" s="21" t="n"/>
    </row>
    <row r="34">
      <c r="S34" s="2" t="inlineStr">
        <is>
          <t xml:space="preserve"> </t>
        </is>
      </c>
    </row>
    <row r="35">
      <c r="B35" s="23" t="n"/>
      <c r="C35" s="22" t="n"/>
      <c r="L35" s="22" t="n"/>
      <c r="M35" s="22" t="n"/>
    </row>
  </sheetData>
  <mergeCells count="26">
    <mergeCell ref="F23:I23"/>
    <mergeCell ref="E26:H26"/>
    <mergeCell ref="K23:Q23"/>
    <mergeCell ref="N9:Q9"/>
    <mergeCell ref="E14:F14"/>
    <mergeCell ref="H24:N24"/>
    <mergeCell ref="B23:B24"/>
    <mergeCell ref="A2:R2"/>
    <mergeCell ref="N26:Q26"/>
    <mergeCell ref="N20:Q20"/>
    <mergeCell ref="B6:B7"/>
    <mergeCell ref="C23:C24"/>
    <mergeCell ref="E15:F15"/>
    <mergeCell ref="B12:H12"/>
    <mergeCell ref="N21:Q21"/>
    <mergeCell ref="A23:A24"/>
    <mergeCell ref="N12:Q12"/>
    <mergeCell ref="N18:Q18"/>
    <mergeCell ref="N17:Q17"/>
    <mergeCell ref="D23:D24"/>
    <mergeCell ref="A1:R1"/>
    <mergeCell ref="C6:C7"/>
    <mergeCell ref="D6:D7"/>
    <mergeCell ref="N10:Q10"/>
    <mergeCell ref="M28:S28"/>
    <mergeCell ref="N19:Q19"/>
  </mergeCells>
  <pageMargins left="0.7" right="0.7" top="0.75" bottom="0.75" header="0.3" footer="0.3"/>
  <pageSetup orientation="portrait" paperSize="9" scale="89"/>
  <colBreaks count="1" manualBreakCount="1">
    <brk id="19" min="0" max="1048575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view="pageBreakPreview" topLeftCell="A7" zoomScaleNormal="100" zoomScaleSheetLayoutView="100" workbookViewId="0">
      <selection activeCell="C4" sqref="C4"/>
    </sheetView>
  </sheetViews>
  <sheetFormatPr baseColWidth="8" defaultColWidth="9.140625" defaultRowHeight="21"/>
  <cols>
    <col width="6.140625" customWidth="1" style="494" min="1" max="1"/>
    <col width="15.7109375" customWidth="1" style="494" min="2" max="2"/>
    <col width="41.5703125" customWidth="1" style="494" min="3" max="3"/>
    <col width="20.42578125" customWidth="1" style="494" min="4" max="6"/>
    <col width="17.42578125" customWidth="1" style="494" min="7" max="7"/>
    <col width="14.5703125" bestFit="1" customWidth="1" style="494" min="8" max="8"/>
    <col width="14.140625" bestFit="1" customWidth="1" style="494" min="9" max="9"/>
    <col width="14.42578125" bestFit="1" customWidth="1" style="494" min="10" max="10"/>
    <col width="14.7109375" bestFit="1" customWidth="1" style="494" min="11" max="11"/>
    <col width="9.140625" customWidth="1" style="494" min="12" max="16384"/>
  </cols>
  <sheetData>
    <row r="1">
      <c r="A1" s="491" t="inlineStr">
        <is>
          <t xml:space="preserve">รายการประมาณการ  </t>
        </is>
      </c>
      <c r="B1" s="491" t="n"/>
      <c r="C1" s="491" t="n"/>
      <c r="D1" s="492" t="n"/>
      <c r="E1" s="491" t="n"/>
      <c r="F1" s="491" t="n"/>
      <c r="G1" s="493" t="inlineStr">
        <is>
          <t>แบบ ปร.4</t>
        </is>
      </c>
      <c r="H1" s="491" t="n"/>
    </row>
    <row r="2">
      <c r="A2" s="491" t="inlineStr">
        <is>
          <t xml:space="preserve">สถานที่ก่อสร้าง </t>
        </is>
      </c>
      <c r="B2" s="495" t="n"/>
      <c r="C2" s="496" t="n"/>
      <c r="D2" s="496" t="n"/>
      <c r="E2" s="495" t="n"/>
      <c r="F2" s="553" t="n"/>
      <c r="G2" s="553" t="n"/>
      <c r="H2" s="553" t="n"/>
      <c r="I2" s="553" t="n"/>
    </row>
    <row r="3">
      <c r="A3" s="498" t="inlineStr">
        <is>
          <t>แบบเลขที่</t>
        </is>
      </c>
      <c r="B3" s="495" t="n"/>
      <c r="C3" s="554" t="n"/>
      <c r="D3" s="496" t="n"/>
      <c r="E3" s="555" t="inlineStr">
        <is>
          <t>รายการเลขที่</t>
        </is>
      </c>
      <c r="F3" s="495" t="n"/>
      <c r="G3" s="553" t="n"/>
      <c r="H3" s="553" t="n"/>
      <c r="I3" s="495" t="n"/>
    </row>
    <row r="4">
      <c r="A4" s="498" t="inlineStr">
        <is>
          <t>กอง</t>
        </is>
      </c>
      <c r="B4" s="495" t="inlineStr">
        <is>
          <t xml:space="preserve"> -</t>
        </is>
      </c>
      <c r="C4" s="554" t="n"/>
      <c r="D4" s="496" t="n"/>
      <c r="E4" s="555" t="inlineStr">
        <is>
          <t>กรม</t>
        </is>
      </c>
      <c r="F4" s="495" t="n"/>
      <c r="G4" s="553" t="n"/>
      <c r="H4" s="553" t="n"/>
      <c r="I4" s="495" t="n"/>
    </row>
    <row r="5">
      <c r="A5" s="498" t="inlineStr">
        <is>
          <t xml:space="preserve">ประมาณการโดย   </t>
        </is>
      </c>
      <c r="B5" s="495" t="n"/>
      <c r="C5" s="554" t="n"/>
      <c r="D5" s="496" t="n"/>
      <c r="E5" s="501" t="inlineStr">
        <is>
          <t xml:space="preserve">ประมาณการ เมื่อ </t>
        </is>
      </c>
      <c r="F5" s="495" t="n"/>
      <c r="G5" s="553" t="n"/>
      <c r="H5" s="553" t="n"/>
      <c r="I5" s="495" t="n"/>
    </row>
    <row r="6">
      <c r="A6" s="498" t="n"/>
      <c r="D6" s="503" t="n"/>
    </row>
    <row r="7">
      <c r="A7" s="504" t="inlineStr">
        <is>
          <t>ลำดับ</t>
        </is>
      </c>
      <c r="B7" s="556" t="inlineStr">
        <is>
          <t>รายการ</t>
        </is>
      </c>
      <c r="C7" s="557" t="n"/>
      <c r="D7" s="507" t="inlineStr">
        <is>
          <t>ค่าวัสดุ</t>
        </is>
      </c>
      <c r="E7" s="510" t="inlineStr">
        <is>
          <t>ค่าแรง</t>
        </is>
      </c>
      <c r="F7" s="509" t="inlineStr">
        <is>
          <t>รวมราคาวัสดุ</t>
        </is>
      </c>
      <c r="G7" s="556" t="inlineStr">
        <is>
          <t>หมายเหตุ</t>
        </is>
      </c>
    </row>
    <row r="8">
      <c r="A8" s="511" t="inlineStr">
        <is>
          <t>ที่</t>
        </is>
      </c>
      <c r="B8" s="558" t="n"/>
      <c r="C8" s="559" t="n"/>
      <c r="D8" s="514" t="inlineStr">
        <is>
          <t>จำนวนเงิน</t>
        </is>
      </c>
      <c r="E8" s="517" t="inlineStr">
        <is>
          <t>จำนวนเงิน</t>
        </is>
      </c>
      <c r="F8" s="516" t="inlineStr">
        <is>
          <t>และค่าแรงงาน</t>
        </is>
      </c>
      <c r="G8" s="560" t="n"/>
    </row>
    <row r="9">
      <c r="A9" s="518" t="n"/>
      <c r="B9" s="519" t="n"/>
      <c r="C9" s="520" t="n"/>
      <c r="D9" s="561" t="n"/>
      <c r="E9" s="561" t="n"/>
      <c r="F9" s="562" t="n"/>
      <c r="G9" s="523" t="n"/>
    </row>
    <row r="10">
      <c r="A10" s="524" t="n"/>
      <c r="B10" s="519" t="inlineStr">
        <is>
          <t>หมวดงาน</t>
        </is>
      </c>
      <c r="C10" s="520" t="n"/>
      <c r="D10" s="561" t="n"/>
      <c r="E10" s="561" t="n"/>
      <c r="F10" s="561" t="n"/>
      <c r="G10" s="525" t="n"/>
    </row>
    <row r="11">
      <c r="A11" s="524" t="n">
        <v>1</v>
      </c>
      <c r="B11" s="526">
        <f>'ปร4.อาคาร'!B7</f>
        <v/>
      </c>
      <c r="C11" s="520" t="n"/>
      <c r="D11" s="561">
        <f>'ปร4.อาคาร'!F19</f>
        <v/>
      </c>
      <c r="E11" s="561">
        <f>'ปร4.อาคาร'!H19</f>
        <v/>
      </c>
      <c r="F11" s="561">
        <f>E11+D11</f>
        <v/>
      </c>
      <c r="G11" s="525" t="n"/>
      <c r="H11" s="527" t="n"/>
      <c r="I11" s="563" t="n"/>
      <c r="J11" s="563" t="n"/>
      <c r="K11" s="563" t="n"/>
    </row>
    <row r="12">
      <c r="A12" s="524" t="n">
        <v>2</v>
      </c>
      <c r="B12" s="526">
        <f>'ปร4.อาคาร'!B20</f>
        <v/>
      </c>
      <c r="C12" s="520" t="n"/>
      <c r="D12" s="561">
        <f>'ปร4.อาคาร'!F31</f>
        <v/>
      </c>
      <c r="E12" s="561">
        <f>'ปร4.อาคาร'!H31</f>
        <v/>
      </c>
      <c r="F12" s="561">
        <f>E12+D12</f>
        <v/>
      </c>
      <c r="G12" s="525" t="n"/>
      <c r="H12" s="527" t="n"/>
      <c r="I12" s="563" t="n"/>
      <c r="J12" s="563" t="n"/>
      <c r="K12" s="563" t="n"/>
    </row>
    <row r="13">
      <c r="A13" s="524" t="n">
        <v>3</v>
      </c>
      <c r="B13" s="526">
        <f>'ปร4.อาคาร'!B32</f>
        <v/>
      </c>
      <c r="C13" s="520" t="n"/>
      <c r="D13" s="561">
        <f>'ปร4.อาคาร'!F96</f>
        <v/>
      </c>
      <c r="E13" s="561">
        <f>'ปร4.อาคาร'!H96</f>
        <v/>
      </c>
      <c r="F13" s="561">
        <f>E13+D13</f>
        <v/>
      </c>
      <c r="G13" s="525" t="n"/>
      <c r="H13" s="527" t="n"/>
      <c r="I13" s="563" t="n"/>
      <c r="J13" s="563" t="n"/>
      <c r="K13" s="563" t="n"/>
    </row>
    <row r="14">
      <c r="A14" s="524" t="n">
        <v>4</v>
      </c>
      <c r="B14" s="526">
        <f>'ปร4.อาคาร'!B121</f>
        <v/>
      </c>
      <c r="C14" s="520" t="n"/>
      <c r="D14" s="561">
        <f>'ปร4.อาคาร'!F176</f>
        <v/>
      </c>
      <c r="E14" s="561">
        <f>'ปร4.อาคาร'!H176</f>
        <v/>
      </c>
      <c r="F14" s="561">
        <f>E14+D14</f>
        <v/>
      </c>
      <c r="G14" s="525" t="n"/>
      <c r="H14" s="527" t="n"/>
      <c r="I14" s="563" t="n"/>
      <c r="J14" s="563" t="n"/>
      <c r="K14" s="563" t="n"/>
    </row>
    <row r="15">
      <c r="A15" s="524" t="n"/>
      <c r="B15" s="526" t="n"/>
      <c r="C15" s="520" t="n"/>
      <c r="D15" s="561" t="n"/>
      <c r="E15" s="561" t="n"/>
      <c r="F15" s="561" t="n"/>
      <c r="G15" s="525" t="n"/>
      <c r="H15" s="527" t="n"/>
      <c r="I15" s="563" t="n"/>
      <c r="J15" s="563" t="n"/>
      <c r="K15" s="563" t="n"/>
    </row>
    <row r="16">
      <c r="A16" s="524" t="n"/>
      <c r="B16" s="526" t="n"/>
      <c r="C16" s="520" t="n"/>
      <c r="D16" s="561" t="n"/>
      <c r="E16" s="561" t="n"/>
      <c r="F16" s="561" t="n"/>
      <c r="G16" s="525" t="n"/>
      <c r="H16" s="527" t="n"/>
    </row>
    <row r="17">
      <c r="A17" s="529" t="n"/>
      <c r="B17" s="519" t="n"/>
      <c r="C17" s="520" t="n"/>
      <c r="D17" s="564" t="n"/>
      <c r="E17" s="564" t="n"/>
      <c r="F17" s="564" t="n"/>
      <c r="G17" s="531" t="n"/>
    </row>
    <row r="18">
      <c r="A18" s="532" t="n"/>
      <c r="B18" s="565" t="inlineStr">
        <is>
          <t>รวมเป็นเงินทั้งสิ้น</t>
        </is>
      </c>
      <c r="C18" s="566" t="n"/>
      <c r="D18" s="567">
        <f>SUM(D11:D16)</f>
        <v/>
      </c>
      <c r="E18" s="567">
        <f>SUM(E11:E16)</f>
        <v/>
      </c>
      <c r="F18" s="567">
        <f>SUM(F11:F16)</f>
        <v/>
      </c>
      <c r="G18" s="532" t="n"/>
    </row>
    <row r="21">
      <c r="F21" s="494" t="inlineStr">
        <is>
          <t xml:space="preserve">                  </t>
        </is>
      </c>
    </row>
  </sheetData>
  <mergeCells count="3">
    <mergeCell ref="B18:C18"/>
    <mergeCell ref="B7:C8"/>
    <mergeCell ref="G7:G8"/>
  </mergeCells>
  <pageMargins left="0.7" right="0.7" top="0.75" bottom="0.75" header="0.3" footer="0.3"/>
  <pageSetup orientation="portrait" paperSize="9" scale="61"/>
  <colBreaks count="1" manualBreakCount="1">
    <brk id="7" min="0" max="1048575" man="1"/>
  </colBreaks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BG211"/>
  <sheetViews>
    <sheetView view="pageBreakPreview" zoomScale="85" zoomScaleNormal="100" zoomScaleSheetLayoutView="85" workbookViewId="0">
      <pane ySplit="1" topLeftCell="A80" activePane="bottomLeft" state="frozen"/>
      <selection pane="bottomLeft" activeCell="E168" sqref="E168:I175"/>
    </sheetView>
  </sheetViews>
  <sheetFormatPr baseColWidth="8" defaultRowHeight="24" customHeight="1"/>
  <cols>
    <col width="5.5703125" customWidth="1" style="101" min="1" max="1"/>
    <col width="78.28515625" customWidth="1" style="101" min="2" max="2"/>
    <col width="11.7109375" customWidth="1" style="568" min="3" max="3"/>
    <col width="9.7109375" customWidth="1" style="104" min="4" max="4"/>
    <col width="12.7109375" customWidth="1" style="569" min="5" max="5"/>
    <col width="15.7109375" bestFit="1" customWidth="1" style="569" min="6" max="6"/>
    <col width="13.5703125" customWidth="1" style="569" min="7" max="7"/>
    <col width="14.85546875" customWidth="1" style="569" min="8" max="8"/>
    <col width="16.42578125" bestFit="1" customWidth="1" style="569" min="9" max="9"/>
    <col width="12.7109375" customWidth="1" style="101" min="10" max="10"/>
    <col width="11.28515625" bestFit="1" customWidth="1" style="101" min="11" max="11"/>
    <col width="14.42578125" customWidth="1" style="101" min="12" max="12"/>
    <col width="15.7109375" customWidth="1" style="104" min="13" max="16"/>
    <col width="14.5703125" customWidth="1" style="101" min="17" max="17"/>
    <col width="9.140625" customWidth="1" style="101" min="18" max="256"/>
    <col width="5.28515625" customWidth="1" style="101" min="257" max="257"/>
    <col width="49" customWidth="1" style="101" min="258" max="258"/>
    <col width="10.42578125" customWidth="1" style="101" min="259" max="259"/>
    <col width="9.7109375" customWidth="1" style="101" min="260" max="260"/>
    <col width="12.7109375" customWidth="1" style="101" min="261" max="261"/>
    <col width="15.140625" customWidth="1" style="101" min="262" max="262"/>
    <col width="13.5703125" customWidth="1" style="101" min="263" max="263"/>
    <col width="14.85546875" customWidth="1" style="101" min="264" max="264"/>
    <col width="15.140625" customWidth="1" style="101" min="265" max="265"/>
    <col width="12.7109375" customWidth="1" style="101" min="266" max="266"/>
    <col width="9.140625" customWidth="1" style="101" min="267" max="267"/>
    <col width="14.42578125" customWidth="1" style="101" min="268" max="268"/>
    <col width="15.7109375" customWidth="1" style="101" min="269" max="272"/>
    <col width="14.5703125" customWidth="1" style="101" min="273" max="273"/>
    <col width="9.140625" customWidth="1" style="101" min="274" max="512"/>
    <col width="5.28515625" customWidth="1" style="101" min="513" max="513"/>
    <col width="49" customWidth="1" style="101" min="514" max="514"/>
    <col width="10.42578125" customWidth="1" style="101" min="515" max="515"/>
    <col width="9.7109375" customWidth="1" style="101" min="516" max="516"/>
    <col width="12.7109375" customWidth="1" style="101" min="517" max="517"/>
    <col width="15.140625" customWidth="1" style="101" min="518" max="518"/>
    <col width="13.5703125" customWidth="1" style="101" min="519" max="519"/>
    <col width="14.85546875" customWidth="1" style="101" min="520" max="520"/>
    <col width="15.140625" customWidth="1" style="101" min="521" max="521"/>
    <col width="12.7109375" customWidth="1" style="101" min="522" max="522"/>
    <col width="9.140625" customWidth="1" style="101" min="523" max="523"/>
    <col width="14.42578125" customWidth="1" style="101" min="524" max="524"/>
    <col width="15.7109375" customWidth="1" style="101" min="525" max="528"/>
    <col width="14.5703125" customWidth="1" style="101" min="529" max="529"/>
    <col width="9.140625" customWidth="1" style="101" min="530" max="768"/>
    <col width="5.28515625" customWidth="1" style="101" min="769" max="769"/>
    <col width="49" customWidth="1" style="101" min="770" max="770"/>
    <col width="10.42578125" customWidth="1" style="101" min="771" max="771"/>
    <col width="9.7109375" customWidth="1" style="101" min="772" max="772"/>
    <col width="12.7109375" customWidth="1" style="101" min="773" max="773"/>
    <col width="15.140625" customWidth="1" style="101" min="774" max="774"/>
    <col width="13.5703125" customWidth="1" style="101" min="775" max="775"/>
    <col width="14.85546875" customWidth="1" style="101" min="776" max="776"/>
    <col width="15.140625" customWidth="1" style="101" min="777" max="777"/>
    <col width="12.7109375" customWidth="1" style="101" min="778" max="778"/>
    <col width="9.140625" customWidth="1" style="101" min="779" max="779"/>
    <col width="14.42578125" customWidth="1" style="101" min="780" max="780"/>
    <col width="15.7109375" customWidth="1" style="101" min="781" max="784"/>
    <col width="14.5703125" customWidth="1" style="101" min="785" max="785"/>
    <col width="9.140625" customWidth="1" style="101" min="786" max="1024"/>
    <col width="5.28515625" customWidth="1" style="101" min="1025" max="1025"/>
    <col width="49" customWidth="1" style="101" min="1026" max="1026"/>
    <col width="10.42578125" customWidth="1" style="101" min="1027" max="1027"/>
    <col width="9.7109375" customWidth="1" style="101" min="1028" max="1028"/>
    <col width="12.7109375" customWidth="1" style="101" min="1029" max="1029"/>
    <col width="15.140625" customWidth="1" style="101" min="1030" max="1030"/>
    <col width="13.5703125" customWidth="1" style="101" min="1031" max="1031"/>
    <col width="14.85546875" customWidth="1" style="101" min="1032" max="1032"/>
    <col width="15.140625" customWidth="1" style="101" min="1033" max="1033"/>
    <col width="12.7109375" customWidth="1" style="101" min="1034" max="1034"/>
    <col width="9.140625" customWidth="1" style="101" min="1035" max="1035"/>
    <col width="14.42578125" customWidth="1" style="101" min="1036" max="1036"/>
    <col width="15.7109375" customWidth="1" style="101" min="1037" max="1040"/>
    <col width="14.5703125" customWidth="1" style="101" min="1041" max="1041"/>
    <col width="9.140625" customWidth="1" style="101" min="1042" max="1280"/>
    <col width="5.28515625" customWidth="1" style="101" min="1281" max="1281"/>
    <col width="49" customWidth="1" style="101" min="1282" max="1282"/>
    <col width="10.42578125" customWidth="1" style="101" min="1283" max="1283"/>
    <col width="9.7109375" customWidth="1" style="101" min="1284" max="1284"/>
    <col width="12.7109375" customWidth="1" style="101" min="1285" max="1285"/>
    <col width="15.140625" customWidth="1" style="101" min="1286" max="1286"/>
    <col width="13.5703125" customWidth="1" style="101" min="1287" max="1287"/>
    <col width="14.85546875" customWidth="1" style="101" min="1288" max="1288"/>
    <col width="15.140625" customWidth="1" style="101" min="1289" max="1289"/>
    <col width="12.7109375" customWidth="1" style="101" min="1290" max="1290"/>
    <col width="9.140625" customWidth="1" style="101" min="1291" max="1291"/>
    <col width="14.42578125" customWidth="1" style="101" min="1292" max="1292"/>
    <col width="15.7109375" customWidth="1" style="101" min="1293" max="1296"/>
    <col width="14.5703125" customWidth="1" style="101" min="1297" max="1297"/>
    <col width="9.140625" customWidth="1" style="101" min="1298" max="1536"/>
    <col width="5.28515625" customWidth="1" style="101" min="1537" max="1537"/>
    <col width="49" customWidth="1" style="101" min="1538" max="1538"/>
    <col width="10.42578125" customWidth="1" style="101" min="1539" max="1539"/>
    <col width="9.7109375" customWidth="1" style="101" min="1540" max="1540"/>
    <col width="12.7109375" customWidth="1" style="101" min="1541" max="1541"/>
    <col width="15.140625" customWidth="1" style="101" min="1542" max="1542"/>
    <col width="13.5703125" customWidth="1" style="101" min="1543" max="1543"/>
    <col width="14.85546875" customWidth="1" style="101" min="1544" max="1544"/>
    <col width="15.140625" customWidth="1" style="101" min="1545" max="1545"/>
    <col width="12.7109375" customWidth="1" style="101" min="1546" max="1546"/>
    <col width="9.140625" customWidth="1" style="101" min="1547" max="1547"/>
    <col width="14.42578125" customWidth="1" style="101" min="1548" max="1548"/>
    <col width="15.7109375" customWidth="1" style="101" min="1549" max="1552"/>
    <col width="14.5703125" customWidth="1" style="101" min="1553" max="1553"/>
    <col width="9.140625" customWidth="1" style="101" min="1554" max="1792"/>
    <col width="5.28515625" customWidth="1" style="101" min="1793" max="1793"/>
    <col width="49" customWidth="1" style="101" min="1794" max="1794"/>
    <col width="10.42578125" customWidth="1" style="101" min="1795" max="1795"/>
    <col width="9.7109375" customWidth="1" style="101" min="1796" max="1796"/>
    <col width="12.7109375" customWidth="1" style="101" min="1797" max="1797"/>
    <col width="15.140625" customWidth="1" style="101" min="1798" max="1798"/>
    <col width="13.5703125" customWidth="1" style="101" min="1799" max="1799"/>
    <col width="14.85546875" customWidth="1" style="101" min="1800" max="1800"/>
    <col width="15.140625" customWidth="1" style="101" min="1801" max="1801"/>
    <col width="12.7109375" customWidth="1" style="101" min="1802" max="1802"/>
    <col width="9.140625" customWidth="1" style="101" min="1803" max="1803"/>
    <col width="14.42578125" customWidth="1" style="101" min="1804" max="1804"/>
    <col width="15.7109375" customWidth="1" style="101" min="1805" max="1808"/>
    <col width="14.5703125" customWidth="1" style="101" min="1809" max="1809"/>
    <col width="9.140625" customWidth="1" style="101" min="1810" max="2048"/>
    <col width="5.28515625" customWidth="1" style="101" min="2049" max="2049"/>
    <col width="49" customWidth="1" style="101" min="2050" max="2050"/>
    <col width="10.42578125" customWidth="1" style="101" min="2051" max="2051"/>
    <col width="9.7109375" customWidth="1" style="101" min="2052" max="2052"/>
    <col width="12.7109375" customWidth="1" style="101" min="2053" max="2053"/>
    <col width="15.140625" customWidth="1" style="101" min="2054" max="2054"/>
    <col width="13.5703125" customWidth="1" style="101" min="2055" max="2055"/>
    <col width="14.85546875" customWidth="1" style="101" min="2056" max="2056"/>
    <col width="15.140625" customWidth="1" style="101" min="2057" max="2057"/>
    <col width="12.7109375" customWidth="1" style="101" min="2058" max="2058"/>
    <col width="9.140625" customWidth="1" style="101" min="2059" max="2059"/>
    <col width="14.42578125" customWidth="1" style="101" min="2060" max="2060"/>
    <col width="15.7109375" customWidth="1" style="101" min="2061" max="2064"/>
    <col width="14.5703125" customWidth="1" style="101" min="2065" max="2065"/>
    <col width="9.140625" customWidth="1" style="101" min="2066" max="2304"/>
    <col width="5.28515625" customWidth="1" style="101" min="2305" max="2305"/>
    <col width="49" customWidth="1" style="101" min="2306" max="2306"/>
    <col width="10.42578125" customWidth="1" style="101" min="2307" max="2307"/>
    <col width="9.7109375" customWidth="1" style="101" min="2308" max="2308"/>
    <col width="12.7109375" customWidth="1" style="101" min="2309" max="2309"/>
    <col width="15.140625" customWidth="1" style="101" min="2310" max="2310"/>
    <col width="13.5703125" customWidth="1" style="101" min="2311" max="2311"/>
    <col width="14.85546875" customWidth="1" style="101" min="2312" max="2312"/>
    <col width="15.140625" customWidth="1" style="101" min="2313" max="2313"/>
    <col width="12.7109375" customWidth="1" style="101" min="2314" max="2314"/>
    <col width="9.140625" customWidth="1" style="101" min="2315" max="2315"/>
    <col width="14.42578125" customWidth="1" style="101" min="2316" max="2316"/>
    <col width="15.7109375" customWidth="1" style="101" min="2317" max="2320"/>
    <col width="14.5703125" customWidth="1" style="101" min="2321" max="2321"/>
    <col width="9.140625" customWidth="1" style="101" min="2322" max="2560"/>
    <col width="5.28515625" customWidth="1" style="101" min="2561" max="2561"/>
    <col width="49" customWidth="1" style="101" min="2562" max="2562"/>
    <col width="10.42578125" customWidth="1" style="101" min="2563" max="2563"/>
    <col width="9.7109375" customWidth="1" style="101" min="2564" max="2564"/>
    <col width="12.7109375" customWidth="1" style="101" min="2565" max="2565"/>
    <col width="15.140625" customWidth="1" style="101" min="2566" max="2566"/>
    <col width="13.5703125" customWidth="1" style="101" min="2567" max="2567"/>
    <col width="14.85546875" customWidth="1" style="101" min="2568" max="2568"/>
    <col width="15.140625" customWidth="1" style="101" min="2569" max="2569"/>
    <col width="12.7109375" customWidth="1" style="101" min="2570" max="2570"/>
    <col width="9.140625" customWidth="1" style="101" min="2571" max="2571"/>
    <col width="14.42578125" customWidth="1" style="101" min="2572" max="2572"/>
    <col width="15.7109375" customWidth="1" style="101" min="2573" max="2576"/>
    <col width="14.5703125" customWidth="1" style="101" min="2577" max="2577"/>
    <col width="9.140625" customWidth="1" style="101" min="2578" max="2816"/>
    <col width="5.28515625" customWidth="1" style="101" min="2817" max="2817"/>
    <col width="49" customWidth="1" style="101" min="2818" max="2818"/>
    <col width="10.42578125" customWidth="1" style="101" min="2819" max="2819"/>
    <col width="9.7109375" customWidth="1" style="101" min="2820" max="2820"/>
    <col width="12.7109375" customWidth="1" style="101" min="2821" max="2821"/>
    <col width="15.140625" customWidth="1" style="101" min="2822" max="2822"/>
    <col width="13.5703125" customWidth="1" style="101" min="2823" max="2823"/>
    <col width="14.85546875" customWidth="1" style="101" min="2824" max="2824"/>
    <col width="15.140625" customWidth="1" style="101" min="2825" max="2825"/>
    <col width="12.7109375" customWidth="1" style="101" min="2826" max="2826"/>
    <col width="9.140625" customWidth="1" style="101" min="2827" max="2827"/>
    <col width="14.42578125" customWidth="1" style="101" min="2828" max="2828"/>
    <col width="15.7109375" customWidth="1" style="101" min="2829" max="2832"/>
    <col width="14.5703125" customWidth="1" style="101" min="2833" max="2833"/>
    <col width="9.140625" customWidth="1" style="101" min="2834" max="3072"/>
    <col width="5.28515625" customWidth="1" style="101" min="3073" max="3073"/>
    <col width="49" customWidth="1" style="101" min="3074" max="3074"/>
    <col width="10.42578125" customWidth="1" style="101" min="3075" max="3075"/>
    <col width="9.7109375" customWidth="1" style="101" min="3076" max="3076"/>
    <col width="12.7109375" customWidth="1" style="101" min="3077" max="3077"/>
    <col width="15.140625" customWidth="1" style="101" min="3078" max="3078"/>
    <col width="13.5703125" customWidth="1" style="101" min="3079" max="3079"/>
    <col width="14.85546875" customWidth="1" style="101" min="3080" max="3080"/>
    <col width="15.140625" customWidth="1" style="101" min="3081" max="3081"/>
    <col width="12.7109375" customWidth="1" style="101" min="3082" max="3082"/>
    <col width="9.140625" customWidth="1" style="101" min="3083" max="3083"/>
    <col width="14.42578125" customWidth="1" style="101" min="3084" max="3084"/>
    <col width="15.7109375" customWidth="1" style="101" min="3085" max="3088"/>
    <col width="14.5703125" customWidth="1" style="101" min="3089" max="3089"/>
    <col width="9.140625" customWidth="1" style="101" min="3090" max="3328"/>
    <col width="5.28515625" customWidth="1" style="101" min="3329" max="3329"/>
    <col width="49" customWidth="1" style="101" min="3330" max="3330"/>
    <col width="10.42578125" customWidth="1" style="101" min="3331" max="3331"/>
    <col width="9.7109375" customWidth="1" style="101" min="3332" max="3332"/>
    <col width="12.7109375" customWidth="1" style="101" min="3333" max="3333"/>
    <col width="15.140625" customWidth="1" style="101" min="3334" max="3334"/>
    <col width="13.5703125" customWidth="1" style="101" min="3335" max="3335"/>
    <col width="14.85546875" customWidth="1" style="101" min="3336" max="3336"/>
    <col width="15.140625" customWidth="1" style="101" min="3337" max="3337"/>
    <col width="12.7109375" customWidth="1" style="101" min="3338" max="3338"/>
    <col width="9.140625" customWidth="1" style="101" min="3339" max="3339"/>
    <col width="14.42578125" customWidth="1" style="101" min="3340" max="3340"/>
    <col width="15.7109375" customWidth="1" style="101" min="3341" max="3344"/>
    <col width="14.5703125" customWidth="1" style="101" min="3345" max="3345"/>
    <col width="9.140625" customWidth="1" style="101" min="3346" max="3584"/>
    <col width="5.28515625" customWidth="1" style="101" min="3585" max="3585"/>
    <col width="49" customWidth="1" style="101" min="3586" max="3586"/>
    <col width="10.42578125" customWidth="1" style="101" min="3587" max="3587"/>
    <col width="9.7109375" customWidth="1" style="101" min="3588" max="3588"/>
    <col width="12.7109375" customWidth="1" style="101" min="3589" max="3589"/>
    <col width="15.140625" customWidth="1" style="101" min="3590" max="3590"/>
    <col width="13.5703125" customWidth="1" style="101" min="3591" max="3591"/>
    <col width="14.85546875" customWidth="1" style="101" min="3592" max="3592"/>
    <col width="15.140625" customWidth="1" style="101" min="3593" max="3593"/>
    <col width="12.7109375" customWidth="1" style="101" min="3594" max="3594"/>
    <col width="9.140625" customWidth="1" style="101" min="3595" max="3595"/>
    <col width="14.42578125" customWidth="1" style="101" min="3596" max="3596"/>
    <col width="15.7109375" customWidth="1" style="101" min="3597" max="3600"/>
    <col width="14.5703125" customWidth="1" style="101" min="3601" max="3601"/>
    <col width="9.140625" customWidth="1" style="101" min="3602" max="3840"/>
    <col width="5.28515625" customWidth="1" style="101" min="3841" max="3841"/>
    <col width="49" customWidth="1" style="101" min="3842" max="3842"/>
    <col width="10.42578125" customWidth="1" style="101" min="3843" max="3843"/>
    <col width="9.7109375" customWidth="1" style="101" min="3844" max="3844"/>
    <col width="12.7109375" customWidth="1" style="101" min="3845" max="3845"/>
    <col width="15.140625" customWidth="1" style="101" min="3846" max="3846"/>
    <col width="13.5703125" customWidth="1" style="101" min="3847" max="3847"/>
    <col width="14.85546875" customWidth="1" style="101" min="3848" max="3848"/>
    <col width="15.140625" customWidth="1" style="101" min="3849" max="3849"/>
    <col width="12.7109375" customWidth="1" style="101" min="3850" max="3850"/>
    <col width="9.140625" customWidth="1" style="101" min="3851" max="3851"/>
    <col width="14.42578125" customWidth="1" style="101" min="3852" max="3852"/>
    <col width="15.7109375" customWidth="1" style="101" min="3853" max="3856"/>
    <col width="14.5703125" customWidth="1" style="101" min="3857" max="3857"/>
    <col width="9.140625" customWidth="1" style="101" min="3858" max="4096"/>
    <col width="5.28515625" customWidth="1" style="101" min="4097" max="4097"/>
    <col width="49" customWidth="1" style="101" min="4098" max="4098"/>
    <col width="10.42578125" customWidth="1" style="101" min="4099" max="4099"/>
    <col width="9.7109375" customWidth="1" style="101" min="4100" max="4100"/>
    <col width="12.7109375" customWidth="1" style="101" min="4101" max="4101"/>
    <col width="15.140625" customWidth="1" style="101" min="4102" max="4102"/>
    <col width="13.5703125" customWidth="1" style="101" min="4103" max="4103"/>
    <col width="14.85546875" customWidth="1" style="101" min="4104" max="4104"/>
    <col width="15.140625" customWidth="1" style="101" min="4105" max="4105"/>
    <col width="12.7109375" customWidth="1" style="101" min="4106" max="4106"/>
    <col width="9.140625" customWidth="1" style="101" min="4107" max="4107"/>
    <col width="14.42578125" customWidth="1" style="101" min="4108" max="4108"/>
    <col width="15.7109375" customWidth="1" style="101" min="4109" max="4112"/>
    <col width="14.5703125" customWidth="1" style="101" min="4113" max="4113"/>
    <col width="9.140625" customWidth="1" style="101" min="4114" max="4352"/>
    <col width="5.28515625" customWidth="1" style="101" min="4353" max="4353"/>
    <col width="49" customWidth="1" style="101" min="4354" max="4354"/>
    <col width="10.42578125" customWidth="1" style="101" min="4355" max="4355"/>
    <col width="9.7109375" customWidth="1" style="101" min="4356" max="4356"/>
    <col width="12.7109375" customWidth="1" style="101" min="4357" max="4357"/>
    <col width="15.140625" customWidth="1" style="101" min="4358" max="4358"/>
    <col width="13.5703125" customWidth="1" style="101" min="4359" max="4359"/>
    <col width="14.85546875" customWidth="1" style="101" min="4360" max="4360"/>
    <col width="15.140625" customWidth="1" style="101" min="4361" max="4361"/>
    <col width="12.7109375" customWidth="1" style="101" min="4362" max="4362"/>
    <col width="9.140625" customWidth="1" style="101" min="4363" max="4363"/>
    <col width="14.42578125" customWidth="1" style="101" min="4364" max="4364"/>
    <col width="15.7109375" customWidth="1" style="101" min="4365" max="4368"/>
    <col width="14.5703125" customWidth="1" style="101" min="4369" max="4369"/>
    <col width="9.140625" customWidth="1" style="101" min="4370" max="4608"/>
    <col width="5.28515625" customWidth="1" style="101" min="4609" max="4609"/>
    <col width="49" customWidth="1" style="101" min="4610" max="4610"/>
    <col width="10.42578125" customWidth="1" style="101" min="4611" max="4611"/>
    <col width="9.7109375" customWidth="1" style="101" min="4612" max="4612"/>
    <col width="12.7109375" customWidth="1" style="101" min="4613" max="4613"/>
    <col width="15.140625" customWidth="1" style="101" min="4614" max="4614"/>
    <col width="13.5703125" customWidth="1" style="101" min="4615" max="4615"/>
    <col width="14.85546875" customWidth="1" style="101" min="4616" max="4616"/>
    <col width="15.140625" customWidth="1" style="101" min="4617" max="4617"/>
    <col width="12.7109375" customWidth="1" style="101" min="4618" max="4618"/>
    <col width="9.140625" customWidth="1" style="101" min="4619" max="4619"/>
    <col width="14.42578125" customWidth="1" style="101" min="4620" max="4620"/>
    <col width="15.7109375" customWidth="1" style="101" min="4621" max="4624"/>
    <col width="14.5703125" customWidth="1" style="101" min="4625" max="4625"/>
    <col width="9.140625" customWidth="1" style="101" min="4626" max="4864"/>
    <col width="5.28515625" customWidth="1" style="101" min="4865" max="4865"/>
    <col width="49" customWidth="1" style="101" min="4866" max="4866"/>
    <col width="10.42578125" customWidth="1" style="101" min="4867" max="4867"/>
    <col width="9.7109375" customWidth="1" style="101" min="4868" max="4868"/>
    <col width="12.7109375" customWidth="1" style="101" min="4869" max="4869"/>
    <col width="15.140625" customWidth="1" style="101" min="4870" max="4870"/>
    <col width="13.5703125" customWidth="1" style="101" min="4871" max="4871"/>
    <col width="14.85546875" customWidth="1" style="101" min="4872" max="4872"/>
    <col width="15.140625" customWidth="1" style="101" min="4873" max="4873"/>
    <col width="12.7109375" customWidth="1" style="101" min="4874" max="4874"/>
    <col width="9.140625" customWidth="1" style="101" min="4875" max="4875"/>
    <col width="14.42578125" customWidth="1" style="101" min="4876" max="4876"/>
    <col width="15.7109375" customWidth="1" style="101" min="4877" max="4880"/>
    <col width="14.5703125" customWidth="1" style="101" min="4881" max="4881"/>
    <col width="9.140625" customWidth="1" style="101" min="4882" max="5120"/>
    <col width="5.28515625" customWidth="1" style="101" min="5121" max="5121"/>
    <col width="49" customWidth="1" style="101" min="5122" max="5122"/>
    <col width="10.42578125" customWidth="1" style="101" min="5123" max="5123"/>
    <col width="9.7109375" customWidth="1" style="101" min="5124" max="5124"/>
    <col width="12.7109375" customWidth="1" style="101" min="5125" max="5125"/>
    <col width="15.140625" customWidth="1" style="101" min="5126" max="5126"/>
    <col width="13.5703125" customWidth="1" style="101" min="5127" max="5127"/>
    <col width="14.85546875" customWidth="1" style="101" min="5128" max="5128"/>
    <col width="15.140625" customWidth="1" style="101" min="5129" max="5129"/>
    <col width="12.7109375" customWidth="1" style="101" min="5130" max="5130"/>
    <col width="9.140625" customWidth="1" style="101" min="5131" max="5131"/>
    <col width="14.42578125" customWidth="1" style="101" min="5132" max="5132"/>
    <col width="15.7109375" customWidth="1" style="101" min="5133" max="5136"/>
    <col width="14.5703125" customWidth="1" style="101" min="5137" max="5137"/>
    <col width="9.140625" customWidth="1" style="101" min="5138" max="5376"/>
    <col width="5.28515625" customWidth="1" style="101" min="5377" max="5377"/>
    <col width="49" customWidth="1" style="101" min="5378" max="5378"/>
    <col width="10.42578125" customWidth="1" style="101" min="5379" max="5379"/>
    <col width="9.7109375" customWidth="1" style="101" min="5380" max="5380"/>
    <col width="12.7109375" customWidth="1" style="101" min="5381" max="5381"/>
    <col width="15.140625" customWidth="1" style="101" min="5382" max="5382"/>
    <col width="13.5703125" customWidth="1" style="101" min="5383" max="5383"/>
    <col width="14.85546875" customWidth="1" style="101" min="5384" max="5384"/>
    <col width="15.140625" customWidth="1" style="101" min="5385" max="5385"/>
    <col width="12.7109375" customWidth="1" style="101" min="5386" max="5386"/>
    <col width="9.140625" customWidth="1" style="101" min="5387" max="5387"/>
    <col width="14.42578125" customWidth="1" style="101" min="5388" max="5388"/>
    <col width="15.7109375" customWidth="1" style="101" min="5389" max="5392"/>
    <col width="14.5703125" customWidth="1" style="101" min="5393" max="5393"/>
    <col width="9.140625" customWidth="1" style="101" min="5394" max="5632"/>
    <col width="5.28515625" customWidth="1" style="101" min="5633" max="5633"/>
    <col width="49" customWidth="1" style="101" min="5634" max="5634"/>
    <col width="10.42578125" customWidth="1" style="101" min="5635" max="5635"/>
    <col width="9.7109375" customWidth="1" style="101" min="5636" max="5636"/>
    <col width="12.7109375" customWidth="1" style="101" min="5637" max="5637"/>
    <col width="15.140625" customWidth="1" style="101" min="5638" max="5638"/>
    <col width="13.5703125" customWidth="1" style="101" min="5639" max="5639"/>
    <col width="14.85546875" customWidth="1" style="101" min="5640" max="5640"/>
    <col width="15.140625" customWidth="1" style="101" min="5641" max="5641"/>
    <col width="12.7109375" customWidth="1" style="101" min="5642" max="5642"/>
    <col width="9.140625" customWidth="1" style="101" min="5643" max="5643"/>
    <col width="14.42578125" customWidth="1" style="101" min="5644" max="5644"/>
    <col width="15.7109375" customWidth="1" style="101" min="5645" max="5648"/>
    <col width="14.5703125" customWidth="1" style="101" min="5649" max="5649"/>
    <col width="9.140625" customWidth="1" style="101" min="5650" max="5888"/>
    <col width="5.28515625" customWidth="1" style="101" min="5889" max="5889"/>
    <col width="49" customWidth="1" style="101" min="5890" max="5890"/>
    <col width="10.42578125" customWidth="1" style="101" min="5891" max="5891"/>
    <col width="9.7109375" customWidth="1" style="101" min="5892" max="5892"/>
    <col width="12.7109375" customWidth="1" style="101" min="5893" max="5893"/>
    <col width="15.140625" customWidth="1" style="101" min="5894" max="5894"/>
    <col width="13.5703125" customWidth="1" style="101" min="5895" max="5895"/>
    <col width="14.85546875" customWidth="1" style="101" min="5896" max="5896"/>
    <col width="15.140625" customWidth="1" style="101" min="5897" max="5897"/>
    <col width="12.7109375" customWidth="1" style="101" min="5898" max="5898"/>
    <col width="9.140625" customWidth="1" style="101" min="5899" max="5899"/>
    <col width="14.42578125" customWidth="1" style="101" min="5900" max="5900"/>
    <col width="15.7109375" customWidth="1" style="101" min="5901" max="5904"/>
    <col width="14.5703125" customWidth="1" style="101" min="5905" max="5905"/>
    <col width="9.140625" customWidth="1" style="101" min="5906" max="6144"/>
    <col width="5.28515625" customWidth="1" style="101" min="6145" max="6145"/>
    <col width="49" customWidth="1" style="101" min="6146" max="6146"/>
    <col width="10.42578125" customWidth="1" style="101" min="6147" max="6147"/>
    <col width="9.7109375" customWidth="1" style="101" min="6148" max="6148"/>
    <col width="12.7109375" customWidth="1" style="101" min="6149" max="6149"/>
    <col width="15.140625" customWidth="1" style="101" min="6150" max="6150"/>
    <col width="13.5703125" customWidth="1" style="101" min="6151" max="6151"/>
    <col width="14.85546875" customWidth="1" style="101" min="6152" max="6152"/>
    <col width="15.140625" customWidth="1" style="101" min="6153" max="6153"/>
    <col width="12.7109375" customWidth="1" style="101" min="6154" max="6154"/>
    <col width="9.140625" customWidth="1" style="101" min="6155" max="6155"/>
    <col width="14.42578125" customWidth="1" style="101" min="6156" max="6156"/>
    <col width="15.7109375" customWidth="1" style="101" min="6157" max="6160"/>
    <col width="14.5703125" customWidth="1" style="101" min="6161" max="6161"/>
    <col width="9.140625" customWidth="1" style="101" min="6162" max="6400"/>
    <col width="5.28515625" customWidth="1" style="101" min="6401" max="6401"/>
    <col width="49" customWidth="1" style="101" min="6402" max="6402"/>
    <col width="10.42578125" customWidth="1" style="101" min="6403" max="6403"/>
    <col width="9.7109375" customWidth="1" style="101" min="6404" max="6404"/>
    <col width="12.7109375" customWidth="1" style="101" min="6405" max="6405"/>
    <col width="15.140625" customWidth="1" style="101" min="6406" max="6406"/>
    <col width="13.5703125" customWidth="1" style="101" min="6407" max="6407"/>
    <col width="14.85546875" customWidth="1" style="101" min="6408" max="6408"/>
    <col width="15.140625" customWidth="1" style="101" min="6409" max="6409"/>
    <col width="12.7109375" customWidth="1" style="101" min="6410" max="6410"/>
    <col width="9.140625" customWidth="1" style="101" min="6411" max="6411"/>
    <col width="14.42578125" customWidth="1" style="101" min="6412" max="6412"/>
    <col width="15.7109375" customWidth="1" style="101" min="6413" max="6416"/>
    <col width="14.5703125" customWidth="1" style="101" min="6417" max="6417"/>
    <col width="9.140625" customWidth="1" style="101" min="6418" max="6656"/>
    <col width="5.28515625" customWidth="1" style="101" min="6657" max="6657"/>
    <col width="49" customWidth="1" style="101" min="6658" max="6658"/>
    <col width="10.42578125" customWidth="1" style="101" min="6659" max="6659"/>
    <col width="9.7109375" customWidth="1" style="101" min="6660" max="6660"/>
    <col width="12.7109375" customWidth="1" style="101" min="6661" max="6661"/>
    <col width="15.140625" customWidth="1" style="101" min="6662" max="6662"/>
    <col width="13.5703125" customWidth="1" style="101" min="6663" max="6663"/>
    <col width="14.85546875" customWidth="1" style="101" min="6664" max="6664"/>
    <col width="15.140625" customWidth="1" style="101" min="6665" max="6665"/>
    <col width="12.7109375" customWidth="1" style="101" min="6666" max="6666"/>
    <col width="9.140625" customWidth="1" style="101" min="6667" max="6667"/>
    <col width="14.42578125" customWidth="1" style="101" min="6668" max="6668"/>
    <col width="15.7109375" customWidth="1" style="101" min="6669" max="6672"/>
    <col width="14.5703125" customWidth="1" style="101" min="6673" max="6673"/>
    <col width="9.140625" customWidth="1" style="101" min="6674" max="6912"/>
    <col width="5.28515625" customWidth="1" style="101" min="6913" max="6913"/>
    <col width="49" customWidth="1" style="101" min="6914" max="6914"/>
    <col width="10.42578125" customWidth="1" style="101" min="6915" max="6915"/>
    <col width="9.7109375" customWidth="1" style="101" min="6916" max="6916"/>
    <col width="12.7109375" customWidth="1" style="101" min="6917" max="6917"/>
    <col width="15.140625" customWidth="1" style="101" min="6918" max="6918"/>
    <col width="13.5703125" customWidth="1" style="101" min="6919" max="6919"/>
    <col width="14.85546875" customWidth="1" style="101" min="6920" max="6920"/>
    <col width="15.140625" customWidth="1" style="101" min="6921" max="6921"/>
    <col width="12.7109375" customWidth="1" style="101" min="6922" max="6922"/>
    <col width="9.140625" customWidth="1" style="101" min="6923" max="6923"/>
    <col width="14.42578125" customWidth="1" style="101" min="6924" max="6924"/>
    <col width="15.7109375" customWidth="1" style="101" min="6925" max="6928"/>
    <col width="14.5703125" customWidth="1" style="101" min="6929" max="6929"/>
    <col width="9.140625" customWidth="1" style="101" min="6930" max="7168"/>
    <col width="5.28515625" customWidth="1" style="101" min="7169" max="7169"/>
    <col width="49" customWidth="1" style="101" min="7170" max="7170"/>
    <col width="10.42578125" customWidth="1" style="101" min="7171" max="7171"/>
    <col width="9.7109375" customWidth="1" style="101" min="7172" max="7172"/>
    <col width="12.7109375" customWidth="1" style="101" min="7173" max="7173"/>
    <col width="15.140625" customWidth="1" style="101" min="7174" max="7174"/>
    <col width="13.5703125" customWidth="1" style="101" min="7175" max="7175"/>
    <col width="14.85546875" customWidth="1" style="101" min="7176" max="7176"/>
    <col width="15.140625" customWidth="1" style="101" min="7177" max="7177"/>
    <col width="12.7109375" customWidth="1" style="101" min="7178" max="7178"/>
    <col width="9.140625" customWidth="1" style="101" min="7179" max="7179"/>
    <col width="14.42578125" customWidth="1" style="101" min="7180" max="7180"/>
    <col width="15.7109375" customWidth="1" style="101" min="7181" max="7184"/>
    <col width="14.5703125" customWidth="1" style="101" min="7185" max="7185"/>
    <col width="9.140625" customWidth="1" style="101" min="7186" max="7424"/>
    <col width="5.28515625" customWidth="1" style="101" min="7425" max="7425"/>
    <col width="49" customWidth="1" style="101" min="7426" max="7426"/>
    <col width="10.42578125" customWidth="1" style="101" min="7427" max="7427"/>
    <col width="9.7109375" customWidth="1" style="101" min="7428" max="7428"/>
    <col width="12.7109375" customWidth="1" style="101" min="7429" max="7429"/>
    <col width="15.140625" customWidth="1" style="101" min="7430" max="7430"/>
    <col width="13.5703125" customWidth="1" style="101" min="7431" max="7431"/>
    <col width="14.85546875" customWidth="1" style="101" min="7432" max="7432"/>
    <col width="15.140625" customWidth="1" style="101" min="7433" max="7433"/>
    <col width="12.7109375" customWidth="1" style="101" min="7434" max="7434"/>
    <col width="9.140625" customWidth="1" style="101" min="7435" max="7435"/>
    <col width="14.42578125" customWidth="1" style="101" min="7436" max="7436"/>
    <col width="15.7109375" customWidth="1" style="101" min="7437" max="7440"/>
    <col width="14.5703125" customWidth="1" style="101" min="7441" max="7441"/>
    <col width="9.140625" customWidth="1" style="101" min="7442" max="7680"/>
    <col width="5.28515625" customWidth="1" style="101" min="7681" max="7681"/>
    <col width="49" customWidth="1" style="101" min="7682" max="7682"/>
    <col width="10.42578125" customWidth="1" style="101" min="7683" max="7683"/>
    <col width="9.7109375" customWidth="1" style="101" min="7684" max="7684"/>
    <col width="12.7109375" customWidth="1" style="101" min="7685" max="7685"/>
    <col width="15.140625" customWidth="1" style="101" min="7686" max="7686"/>
    <col width="13.5703125" customWidth="1" style="101" min="7687" max="7687"/>
    <col width="14.85546875" customWidth="1" style="101" min="7688" max="7688"/>
    <col width="15.140625" customWidth="1" style="101" min="7689" max="7689"/>
    <col width="12.7109375" customWidth="1" style="101" min="7690" max="7690"/>
    <col width="9.140625" customWidth="1" style="101" min="7691" max="7691"/>
    <col width="14.42578125" customWidth="1" style="101" min="7692" max="7692"/>
    <col width="15.7109375" customWidth="1" style="101" min="7693" max="7696"/>
    <col width="14.5703125" customWidth="1" style="101" min="7697" max="7697"/>
    <col width="9.140625" customWidth="1" style="101" min="7698" max="7936"/>
    <col width="5.28515625" customWidth="1" style="101" min="7937" max="7937"/>
    <col width="49" customWidth="1" style="101" min="7938" max="7938"/>
    <col width="10.42578125" customWidth="1" style="101" min="7939" max="7939"/>
    <col width="9.7109375" customWidth="1" style="101" min="7940" max="7940"/>
    <col width="12.7109375" customWidth="1" style="101" min="7941" max="7941"/>
    <col width="15.140625" customWidth="1" style="101" min="7942" max="7942"/>
    <col width="13.5703125" customWidth="1" style="101" min="7943" max="7943"/>
    <col width="14.85546875" customWidth="1" style="101" min="7944" max="7944"/>
    <col width="15.140625" customWidth="1" style="101" min="7945" max="7945"/>
    <col width="12.7109375" customWidth="1" style="101" min="7946" max="7946"/>
    <col width="9.140625" customWidth="1" style="101" min="7947" max="7947"/>
    <col width="14.42578125" customWidth="1" style="101" min="7948" max="7948"/>
    <col width="15.7109375" customWidth="1" style="101" min="7949" max="7952"/>
    <col width="14.5703125" customWidth="1" style="101" min="7953" max="7953"/>
    <col width="9.140625" customWidth="1" style="101" min="7954" max="8192"/>
    <col width="5.28515625" customWidth="1" style="101" min="8193" max="8193"/>
    <col width="49" customWidth="1" style="101" min="8194" max="8194"/>
    <col width="10.42578125" customWidth="1" style="101" min="8195" max="8195"/>
    <col width="9.7109375" customWidth="1" style="101" min="8196" max="8196"/>
    <col width="12.7109375" customWidth="1" style="101" min="8197" max="8197"/>
    <col width="15.140625" customWidth="1" style="101" min="8198" max="8198"/>
    <col width="13.5703125" customWidth="1" style="101" min="8199" max="8199"/>
    <col width="14.85546875" customWidth="1" style="101" min="8200" max="8200"/>
    <col width="15.140625" customWidth="1" style="101" min="8201" max="8201"/>
    <col width="12.7109375" customWidth="1" style="101" min="8202" max="8202"/>
    <col width="9.140625" customWidth="1" style="101" min="8203" max="8203"/>
    <col width="14.42578125" customWidth="1" style="101" min="8204" max="8204"/>
    <col width="15.7109375" customWidth="1" style="101" min="8205" max="8208"/>
    <col width="14.5703125" customWidth="1" style="101" min="8209" max="8209"/>
    <col width="9.140625" customWidth="1" style="101" min="8210" max="8448"/>
    <col width="5.28515625" customWidth="1" style="101" min="8449" max="8449"/>
    <col width="49" customWidth="1" style="101" min="8450" max="8450"/>
    <col width="10.42578125" customWidth="1" style="101" min="8451" max="8451"/>
    <col width="9.7109375" customWidth="1" style="101" min="8452" max="8452"/>
    <col width="12.7109375" customWidth="1" style="101" min="8453" max="8453"/>
    <col width="15.140625" customWidth="1" style="101" min="8454" max="8454"/>
    <col width="13.5703125" customWidth="1" style="101" min="8455" max="8455"/>
    <col width="14.85546875" customWidth="1" style="101" min="8456" max="8456"/>
    <col width="15.140625" customWidth="1" style="101" min="8457" max="8457"/>
    <col width="12.7109375" customWidth="1" style="101" min="8458" max="8458"/>
    <col width="9.140625" customWidth="1" style="101" min="8459" max="8459"/>
    <col width="14.42578125" customWidth="1" style="101" min="8460" max="8460"/>
    <col width="15.7109375" customWidth="1" style="101" min="8461" max="8464"/>
    <col width="14.5703125" customWidth="1" style="101" min="8465" max="8465"/>
    <col width="9.140625" customWidth="1" style="101" min="8466" max="8704"/>
    <col width="5.28515625" customWidth="1" style="101" min="8705" max="8705"/>
    <col width="49" customWidth="1" style="101" min="8706" max="8706"/>
    <col width="10.42578125" customWidth="1" style="101" min="8707" max="8707"/>
    <col width="9.7109375" customWidth="1" style="101" min="8708" max="8708"/>
    <col width="12.7109375" customWidth="1" style="101" min="8709" max="8709"/>
    <col width="15.140625" customWidth="1" style="101" min="8710" max="8710"/>
    <col width="13.5703125" customWidth="1" style="101" min="8711" max="8711"/>
    <col width="14.85546875" customWidth="1" style="101" min="8712" max="8712"/>
    <col width="15.140625" customWidth="1" style="101" min="8713" max="8713"/>
    <col width="12.7109375" customWidth="1" style="101" min="8714" max="8714"/>
    <col width="9.140625" customWidth="1" style="101" min="8715" max="8715"/>
    <col width="14.42578125" customWidth="1" style="101" min="8716" max="8716"/>
    <col width="15.7109375" customWidth="1" style="101" min="8717" max="8720"/>
    <col width="14.5703125" customWidth="1" style="101" min="8721" max="8721"/>
    <col width="9.140625" customWidth="1" style="101" min="8722" max="8960"/>
    <col width="5.28515625" customWidth="1" style="101" min="8961" max="8961"/>
    <col width="49" customWidth="1" style="101" min="8962" max="8962"/>
    <col width="10.42578125" customWidth="1" style="101" min="8963" max="8963"/>
    <col width="9.7109375" customWidth="1" style="101" min="8964" max="8964"/>
    <col width="12.7109375" customWidth="1" style="101" min="8965" max="8965"/>
    <col width="15.140625" customWidth="1" style="101" min="8966" max="8966"/>
    <col width="13.5703125" customWidth="1" style="101" min="8967" max="8967"/>
    <col width="14.85546875" customWidth="1" style="101" min="8968" max="8968"/>
    <col width="15.140625" customWidth="1" style="101" min="8969" max="8969"/>
    <col width="12.7109375" customWidth="1" style="101" min="8970" max="8970"/>
    <col width="9.140625" customWidth="1" style="101" min="8971" max="8971"/>
    <col width="14.42578125" customWidth="1" style="101" min="8972" max="8972"/>
    <col width="15.7109375" customWidth="1" style="101" min="8973" max="8976"/>
    <col width="14.5703125" customWidth="1" style="101" min="8977" max="8977"/>
    <col width="9.140625" customWidth="1" style="101" min="8978" max="9216"/>
    <col width="5.28515625" customWidth="1" style="101" min="9217" max="9217"/>
    <col width="49" customWidth="1" style="101" min="9218" max="9218"/>
    <col width="10.42578125" customWidth="1" style="101" min="9219" max="9219"/>
    <col width="9.7109375" customWidth="1" style="101" min="9220" max="9220"/>
    <col width="12.7109375" customWidth="1" style="101" min="9221" max="9221"/>
    <col width="15.140625" customWidth="1" style="101" min="9222" max="9222"/>
    <col width="13.5703125" customWidth="1" style="101" min="9223" max="9223"/>
    <col width="14.85546875" customWidth="1" style="101" min="9224" max="9224"/>
    <col width="15.140625" customWidth="1" style="101" min="9225" max="9225"/>
    <col width="12.7109375" customWidth="1" style="101" min="9226" max="9226"/>
    <col width="9.140625" customWidth="1" style="101" min="9227" max="9227"/>
    <col width="14.42578125" customWidth="1" style="101" min="9228" max="9228"/>
    <col width="15.7109375" customWidth="1" style="101" min="9229" max="9232"/>
    <col width="14.5703125" customWidth="1" style="101" min="9233" max="9233"/>
    <col width="9.140625" customWidth="1" style="101" min="9234" max="9472"/>
    <col width="5.28515625" customWidth="1" style="101" min="9473" max="9473"/>
    <col width="49" customWidth="1" style="101" min="9474" max="9474"/>
    <col width="10.42578125" customWidth="1" style="101" min="9475" max="9475"/>
    <col width="9.7109375" customWidth="1" style="101" min="9476" max="9476"/>
    <col width="12.7109375" customWidth="1" style="101" min="9477" max="9477"/>
    <col width="15.140625" customWidth="1" style="101" min="9478" max="9478"/>
    <col width="13.5703125" customWidth="1" style="101" min="9479" max="9479"/>
    <col width="14.85546875" customWidth="1" style="101" min="9480" max="9480"/>
    <col width="15.140625" customWidth="1" style="101" min="9481" max="9481"/>
    <col width="12.7109375" customWidth="1" style="101" min="9482" max="9482"/>
    <col width="9.140625" customWidth="1" style="101" min="9483" max="9483"/>
    <col width="14.42578125" customWidth="1" style="101" min="9484" max="9484"/>
    <col width="15.7109375" customWidth="1" style="101" min="9485" max="9488"/>
    <col width="14.5703125" customWidth="1" style="101" min="9489" max="9489"/>
    <col width="9.140625" customWidth="1" style="101" min="9490" max="9728"/>
    <col width="5.28515625" customWidth="1" style="101" min="9729" max="9729"/>
    <col width="49" customWidth="1" style="101" min="9730" max="9730"/>
    <col width="10.42578125" customWidth="1" style="101" min="9731" max="9731"/>
    <col width="9.7109375" customWidth="1" style="101" min="9732" max="9732"/>
    <col width="12.7109375" customWidth="1" style="101" min="9733" max="9733"/>
    <col width="15.140625" customWidth="1" style="101" min="9734" max="9734"/>
    <col width="13.5703125" customWidth="1" style="101" min="9735" max="9735"/>
    <col width="14.85546875" customWidth="1" style="101" min="9736" max="9736"/>
    <col width="15.140625" customWidth="1" style="101" min="9737" max="9737"/>
    <col width="12.7109375" customWidth="1" style="101" min="9738" max="9738"/>
    <col width="9.140625" customWidth="1" style="101" min="9739" max="9739"/>
    <col width="14.42578125" customWidth="1" style="101" min="9740" max="9740"/>
    <col width="15.7109375" customWidth="1" style="101" min="9741" max="9744"/>
    <col width="14.5703125" customWidth="1" style="101" min="9745" max="9745"/>
    <col width="9.140625" customWidth="1" style="101" min="9746" max="9984"/>
    <col width="5.28515625" customWidth="1" style="101" min="9985" max="9985"/>
    <col width="49" customWidth="1" style="101" min="9986" max="9986"/>
    <col width="10.42578125" customWidth="1" style="101" min="9987" max="9987"/>
    <col width="9.7109375" customWidth="1" style="101" min="9988" max="9988"/>
    <col width="12.7109375" customWidth="1" style="101" min="9989" max="9989"/>
    <col width="15.140625" customWidth="1" style="101" min="9990" max="9990"/>
    <col width="13.5703125" customWidth="1" style="101" min="9991" max="9991"/>
    <col width="14.85546875" customWidth="1" style="101" min="9992" max="9992"/>
    <col width="15.140625" customWidth="1" style="101" min="9993" max="9993"/>
    <col width="12.7109375" customWidth="1" style="101" min="9994" max="9994"/>
    <col width="9.140625" customWidth="1" style="101" min="9995" max="9995"/>
    <col width="14.42578125" customWidth="1" style="101" min="9996" max="9996"/>
    <col width="15.7109375" customWidth="1" style="101" min="9997" max="10000"/>
    <col width="14.5703125" customWidth="1" style="101" min="10001" max="10001"/>
    <col width="9.140625" customWidth="1" style="101" min="10002" max="10240"/>
    <col width="5.28515625" customWidth="1" style="101" min="10241" max="10241"/>
    <col width="49" customWidth="1" style="101" min="10242" max="10242"/>
    <col width="10.42578125" customWidth="1" style="101" min="10243" max="10243"/>
    <col width="9.7109375" customWidth="1" style="101" min="10244" max="10244"/>
    <col width="12.7109375" customWidth="1" style="101" min="10245" max="10245"/>
    <col width="15.140625" customWidth="1" style="101" min="10246" max="10246"/>
    <col width="13.5703125" customWidth="1" style="101" min="10247" max="10247"/>
    <col width="14.85546875" customWidth="1" style="101" min="10248" max="10248"/>
    <col width="15.140625" customWidth="1" style="101" min="10249" max="10249"/>
    <col width="12.7109375" customWidth="1" style="101" min="10250" max="10250"/>
    <col width="9.140625" customWidth="1" style="101" min="10251" max="10251"/>
    <col width="14.42578125" customWidth="1" style="101" min="10252" max="10252"/>
    <col width="15.7109375" customWidth="1" style="101" min="10253" max="10256"/>
    <col width="14.5703125" customWidth="1" style="101" min="10257" max="10257"/>
    <col width="9.140625" customWidth="1" style="101" min="10258" max="10496"/>
    <col width="5.28515625" customWidth="1" style="101" min="10497" max="10497"/>
    <col width="49" customWidth="1" style="101" min="10498" max="10498"/>
    <col width="10.42578125" customWidth="1" style="101" min="10499" max="10499"/>
    <col width="9.7109375" customWidth="1" style="101" min="10500" max="10500"/>
    <col width="12.7109375" customWidth="1" style="101" min="10501" max="10501"/>
    <col width="15.140625" customWidth="1" style="101" min="10502" max="10502"/>
    <col width="13.5703125" customWidth="1" style="101" min="10503" max="10503"/>
    <col width="14.85546875" customWidth="1" style="101" min="10504" max="10504"/>
    <col width="15.140625" customWidth="1" style="101" min="10505" max="10505"/>
    <col width="12.7109375" customWidth="1" style="101" min="10506" max="10506"/>
    <col width="9.140625" customWidth="1" style="101" min="10507" max="10507"/>
    <col width="14.42578125" customWidth="1" style="101" min="10508" max="10508"/>
    <col width="15.7109375" customWidth="1" style="101" min="10509" max="10512"/>
    <col width="14.5703125" customWidth="1" style="101" min="10513" max="10513"/>
    <col width="9.140625" customWidth="1" style="101" min="10514" max="10752"/>
    <col width="5.28515625" customWidth="1" style="101" min="10753" max="10753"/>
    <col width="49" customWidth="1" style="101" min="10754" max="10754"/>
    <col width="10.42578125" customWidth="1" style="101" min="10755" max="10755"/>
    <col width="9.7109375" customWidth="1" style="101" min="10756" max="10756"/>
    <col width="12.7109375" customWidth="1" style="101" min="10757" max="10757"/>
    <col width="15.140625" customWidth="1" style="101" min="10758" max="10758"/>
    <col width="13.5703125" customWidth="1" style="101" min="10759" max="10759"/>
    <col width="14.85546875" customWidth="1" style="101" min="10760" max="10760"/>
    <col width="15.140625" customWidth="1" style="101" min="10761" max="10761"/>
    <col width="12.7109375" customWidth="1" style="101" min="10762" max="10762"/>
    <col width="9.140625" customWidth="1" style="101" min="10763" max="10763"/>
    <col width="14.42578125" customWidth="1" style="101" min="10764" max="10764"/>
    <col width="15.7109375" customWidth="1" style="101" min="10765" max="10768"/>
    <col width="14.5703125" customWidth="1" style="101" min="10769" max="10769"/>
    <col width="9.140625" customWidth="1" style="101" min="10770" max="11008"/>
    <col width="5.28515625" customWidth="1" style="101" min="11009" max="11009"/>
    <col width="49" customWidth="1" style="101" min="11010" max="11010"/>
    <col width="10.42578125" customWidth="1" style="101" min="11011" max="11011"/>
    <col width="9.7109375" customWidth="1" style="101" min="11012" max="11012"/>
    <col width="12.7109375" customWidth="1" style="101" min="11013" max="11013"/>
    <col width="15.140625" customWidth="1" style="101" min="11014" max="11014"/>
    <col width="13.5703125" customWidth="1" style="101" min="11015" max="11015"/>
    <col width="14.85546875" customWidth="1" style="101" min="11016" max="11016"/>
    <col width="15.140625" customWidth="1" style="101" min="11017" max="11017"/>
    <col width="12.7109375" customWidth="1" style="101" min="11018" max="11018"/>
    <col width="9.140625" customWidth="1" style="101" min="11019" max="11019"/>
    <col width="14.42578125" customWidth="1" style="101" min="11020" max="11020"/>
    <col width="15.7109375" customWidth="1" style="101" min="11021" max="11024"/>
    <col width="14.5703125" customWidth="1" style="101" min="11025" max="11025"/>
    <col width="9.140625" customWidth="1" style="101" min="11026" max="11264"/>
    <col width="5.28515625" customWidth="1" style="101" min="11265" max="11265"/>
    <col width="49" customWidth="1" style="101" min="11266" max="11266"/>
    <col width="10.42578125" customWidth="1" style="101" min="11267" max="11267"/>
    <col width="9.7109375" customWidth="1" style="101" min="11268" max="11268"/>
    <col width="12.7109375" customWidth="1" style="101" min="11269" max="11269"/>
    <col width="15.140625" customWidth="1" style="101" min="11270" max="11270"/>
    <col width="13.5703125" customWidth="1" style="101" min="11271" max="11271"/>
    <col width="14.85546875" customWidth="1" style="101" min="11272" max="11272"/>
    <col width="15.140625" customWidth="1" style="101" min="11273" max="11273"/>
    <col width="12.7109375" customWidth="1" style="101" min="11274" max="11274"/>
    <col width="9.140625" customWidth="1" style="101" min="11275" max="11275"/>
    <col width="14.42578125" customWidth="1" style="101" min="11276" max="11276"/>
    <col width="15.7109375" customWidth="1" style="101" min="11277" max="11280"/>
    <col width="14.5703125" customWidth="1" style="101" min="11281" max="11281"/>
    <col width="9.140625" customWidth="1" style="101" min="11282" max="11520"/>
    <col width="5.28515625" customWidth="1" style="101" min="11521" max="11521"/>
    <col width="49" customWidth="1" style="101" min="11522" max="11522"/>
    <col width="10.42578125" customWidth="1" style="101" min="11523" max="11523"/>
    <col width="9.7109375" customWidth="1" style="101" min="11524" max="11524"/>
    <col width="12.7109375" customWidth="1" style="101" min="11525" max="11525"/>
    <col width="15.140625" customWidth="1" style="101" min="11526" max="11526"/>
    <col width="13.5703125" customWidth="1" style="101" min="11527" max="11527"/>
    <col width="14.85546875" customWidth="1" style="101" min="11528" max="11528"/>
    <col width="15.140625" customWidth="1" style="101" min="11529" max="11529"/>
    <col width="12.7109375" customWidth="1" style="101" min="11530" max="11530"/>
    <col width="9.140625" customWidth="1" style="101" min="11531" max="11531"/>
    <col width="14.42578125" customWidth="1" style="101" min="11532" max="11532"/>
    <col width="15.7109375" customWidth="1" style="101" min="11533" max="11536"/>
    <col width="14.5703125" customWidth="1" style="101" min="11537" max="11537"/>
    <col width="9.140625" customWidth="1" style="101" min="11538" max="11776"/>
    <col width="5.28515625" customWidth="1" style="101" min="11777" max="11777"/>
    <col width="49" customWidth="1" style="101" min="11778" max="11778"/>
    <col width="10.42578125" customWidth="1" style="101" min="11779" max="11779"/>
    <col width="9.7109375" customWidth="1" style="101" min="11780" max="11780"/>
    <col width="12.7109375" customWidth="1" style="101" min="11781" max="11781"/>
    <col width="15.140625" customWidth="1" style="101" min="11782" max="11782"/>
    <col width="13.5703125" customWidth="1" style="101" min="11783" max="11783"/>
    <col width="14.85546875" customWidth="1" style="101" min="11784" max="11784"/>
    <col width="15.140625" customWidth="1" style="101" min="11785" max="11785"/>
    <col width="12.7109375" customWidth="1" style="101" min="11786" max="11786"/>
    <col width="9.140625" customWidth="1" style="101" min="11787" max="11787"/>
    <col width="14.42578125" customWidth="1" style="101" min="11788" max="11788"/>
    <col width="15.7109375" customWidth="1" style="101" min="11789" max="11792"/>
    <col width="14.5703125" customWidth="1" style="101" min="11793" max="11793"/>
    <col width="9.140625" customWidth="1" style="101" min="11794" max="12032"/>
    <col width="5.28515625" customWidth="1" style="101" min="12033" max="12033"/>
    <col width="49" customWidth="1" style="101" min="12034" max="12034"/>
    <col width="10.42578125" customWidth="1" style="101" min="12035" max="12035"/>
    <col width="9.7109375" customWidth="1" style="101" min="12036" max="12036"/>
    <col width="12.7109375" customWidth="1" style="101" min="12037" max="12037"/>
    <col width="15.140625" customWidth="1" style="101" min="12038" max="12038"/>
    <col width="13.5703125" customWidth="1" style="101" min="12039" max="12039"/>
    <col width="14.85546875" customWidth="1" style="101" min="12040" max="12040"/>
    <col width="15.140625" customWidth="1" style="101" min="12041" max="12041"/>
    <col width="12.7109375" customWidth="1" style="101" min="12042" max="12042"/>
    <col width="9.140625" customWidth="1" style="101" min="12043" max="12043"/>
    <col width="14.42578125" customWidth="1" style="101" min="12044" max="12044"/>
    <col width="15.7109375" customWidth="1" style="101" min="12045" max="12048"/>
    <col width="14.5703125" customWidth="1" style="101" min="12049" max="12049"/>
    <col width="9.140625" customWidth="1" style="101" min="12050" max="12288"/>
    <col width="5.28515625" customWidth="1" style="101" min="12289" max="12289"/>
    <col width="49" customWidth="1" style="101" min="12290" max="12290"/>
    <col width="10.42578125" customWidth="1" style="101" min="12291" max="12291"/>
    <col width="9.7109375" customWidth="1" style="101" min="12292" max="12292"/>
    <col width="12.7109375" customWidth="1" style="101" min="12293" max="12293"/>
    <col width="15.140625" customWidth="1" style="101" min="12294" max="12294"/>
    <col width="13.5703125" customWidth="1" style="101" min="12295" max="12295"/>
    <col width="14.85546875" customWidth="1" style="101" min="12296" max="12296"/>
    <col width="15.140625" customWidth="1" style="101" min="12297" max="12297"/>
    <col width="12.7109375" customWidth="1" style="101" min="12298" max="12298"/>
    <col width="9.140625" customWidth="1" style="101" min="12299" max="12299"/>
    <col width="14.42578125" customWidth="1" style="101" min="12300" max="12300"/>
    <col width="15.7109375" customWidth="1" style="101" min="12301" max="12304"/>
    <col width="14.5703125" customWidth="1" style="101" min="12305" max="12305"/>
    <col width="9.140625" customWidth="1" style="101" min="12306" max="12544"/>
    <col width="5.28515625" customWidth="1" style="101" min="12545" max="12545"/>
    <col width="49" customWidth="1" style="101" min="12546" max="12546"/>
    <col width="10.42578125" customWidth="1" style="101" min="12547" max="12547"/>
    <col width="9.7109375" customWidth="1" style="101" min="12548" max="12548"/>
    <col width="12.7109375" customWidth="1" style="101" min="12549" max="12549"/>
    <col width="15.140625" customWidth="1" style="101" min="12550" max="12550"/>
    <col width="13.5703125" customWidth="1" style="101" min="12551" max="12551"/>
    <col width="14.85546875" customWidth="1" style="101" min="12552" max="12552"/>
    <col width="15.140625" customWidth="1" style="101" min="12553" max="12553"/>
    <col width="12.7109375" customWidth="1" style="101" min="12554" max="12554"/>
    <col width="9.140625" customWidth="1" style="101" min="12555" max="12555"/>
    <col width="14.42578125" customWidth="1" style="101" min="12556" max="12556"/>
    <col width="15.7109375" customWidth="1" style="101" min="12557" max="12560"/>
    <col width="14.5703125" customWidth="1" style="101" min="12561" max="12561"/>
    <col width="9.140625" customWidth="1" style="101" min="12562" max="12800"/>
    <col width="5.28515625" customWidth="1" style="101" min="12801" max="12801"/>
    <col width="49" customWidth="1" style="101" min="12802" max="12802"/>
    <col width="10.42578125" customWidth="1" style="101" min="12803" max="12803"/>
    <col width="9.7109375" customWidth="1" style="101" min="12804" max="12804"/>
    <col width="12.7109375" customWidth="1" style="101" min="12805" max="12805"/>
    <col width="15.140625" customWidth="1" style="101" min="12806" max="12806"/>
    <col width="13.5703125" customWidth="1" style="101" min="12807" max="12807"/>
    <col width="14.85546875" customWidth="1" style="101" min="12808" max="12808"/>
    <col width="15.140625" customWidth="1" style="101" min="12809" max="12809"/>
    <col width="12.7109375" customWidth="1" style="101" min="12810" max="12810"/>
    <col width="9.140625" customWidth="1" style="101" min="12811" max="12811"/>
    <col width="14.42578125" customWidth="1" style="101" min="12812" max="12812"/>
    <col width="15.7109375" customWidth="1" style="101" min="12813" max="12816"/>
    <col width="14.5703125" customWidth="1" style="101" min="12817" max="12817"/>
    <col width="9.140625" customWidth="1" style="101" min="12818" max="13056"/>
    <col width="5.28515625" customWidth="1" style="101" min="13057" max="13057"/>
    <col width="49" customWidth="1" style="101" min="13058" max="13058"/>
    <col width="10.42578125" customWidth="1" style="101" min="13059" max="13059"/>
    <col width="9.7109375" customWidth="1" style="101" min="13060" max="13060"/>
    <col width="12.7109375" customWidth="1" style="101" min="13061" max="13061"/>
    <col width="15.140625" customWidth="1" style="101" min="13062" max="13062"/>
    <col width="13.5703125" customWidth="1" style="101" min="13063" max="13063"/>
    <col width="14.85546875" customWidth="1" style="101" min="13064" max="13064"/>
    <col width="15.140625" customWidth="1" style="101" min="13065" max="13065"/>
    <col width="12.7109375" customWidth="1" style="101" min="13066" max="13066"/>
    <col width="9.140625" customWidth="1" style="101" min="13067" max="13067"/>
    <col width="14.42578125" customWidth="1" style="101" min="13068" max="13068"/>
    <col width="15.7109375" customWidth="1" style="101" min="13069" max="13072"/>
    <col width="14.5703125" customWidth="1" style="101" min="13073" max="13073"/>
    <col width="9.140625" customWidth="1" style="101" min="13074" max="13312"/>
    <col width="5.28515625" customWidth="1" style="101" min="13313" max="13313"/>
    <col width="49" customWidth="1" style="101" min="13314" max="13314"/>
    <col width="10.42578125" customWidth="1" style="101" min="13315" max="13315"/>
    <col width="9.7109375" customWidth="1" style="101" min="13316" max="13316"/>
    <col width="12.7109375" customWidth="1" style="101" min="13317" max="13317"/>
    <col width="15.140625" customWidth="1" style="101" min="13318" max="13318"/>
    <col width="13.5703125" customWidth="1" style="101" min="13319" max="13319"/>
    <col width="14.85546875" customWidth="1" style="101" min="13320" max="13320"/>
    <col width="15.140625" customWidth="1" style="101" min="13321" max="13321"/>
    <col width="12.7109375" customWidth="1" style="101" min="13322" max="13322"/>
    <col width="9.140625" customWidth="1" style="101" min="13323" max="13323"/>
    <col width="14.42578125" customWidth="1" style="101" min="13324" max="13324"/>
    <col width="15.7109375" customWidth="1" style="101" min="13325" max="13328"/>
    <col width="14.5703125" customWidth="1" style="101" min="13329" max="13329"/>
    <col width="9.140625" customWidth="1" style="101" min="13330" max="13568"/>
    <col width="5.28515625" customWidth="1" style="101" min="13569" max="13569"/>
    <col width="49" customWidth="1" style="101" min="13570" max="13570"/>
    <col width="10.42578125" customWidth="1" style="101" min="13571" max="13571"/>
    <col width="9.7109375" customWidth="1" style="101" min="13572" max="13572"/>
    <col width="12.7109375" customWidth="1" style="101" min="13573" max="13573"/>
    <col width="15.140625" customWidth="1" style="101" min="13574" max="13574"/>
    <col width="13.5703125" customWidth="1" style="101" min="13575" max="13575"/>
    <col width="14.85546875" customWidth="1" style="101" min="13576" max="13576"/>
    <col width="15.140625" customWidth="1" style="101" min="13577" max="13577"/>
    <col width="12.7109375" customWidth="1" style="101" min="13578" max="13578"/>
    <col width="9.140625" customWidth="1" style="101" min="13579" max="13579"/>
    <col width="14.42578125" customWidth="1" style="101" min="13580" max="13580"/>
    <col width="15.7109375" customWidth="1" style="101" min="13581" max="13584"/>
    <col width="14.5703125" customWidth="1" style="101" min="13585" max="13585"/>
    <col width="9.140625" customWidth="1" style="101" min="13586" max="13824"/>
    <col width="5.28515625" customWidth="1" style="101" min="13825" max="13825"/>
    <col width="49" customWidth="1" style="101" min="13826" max="13826"/>
    <col width="10.42578125" customWidth="1" style="101" min="13827" max="13827"/>
    <col width="9.7109375" customWidth="1" style="101" min="13828" max="13828"/>
    <col width="12.7109375" customWidth="1" style="101" min="13829" max="13829"/>
    <col width="15.140625" customWidth="1" style="101" min="13830" max="13830"/>
    <col width="13.5703125" customWidth="1" style="101" min="13831" max="13831"/>
    <col width="14.85546875" customWidth="1" style="101" min="13832" max="13832"/>
    <col width="15.140625" customWidth="1" style="101" min="13833" max="13833"/>
    <col width="12.7109375" customWidth="1" style="101" min="13834" max="13834"/>
    <col width="9.140625" customWidth="1" style="101" min="13835" max="13835"/>
    <col width="14.42578125" customWidth="1" style="101" min="13836" max="13836"/>
    <col width="15.7109375" customWidth="1" style="101" min="13837" max="13840"/>
    <col width="14.5703125" customWidth="1" style="101" min="13841" max="13841"/>
    <col width="9.140625" customWidth="1" style="101" min="13842" max="14080"/>
    <col width="5.28515625" customWidth="1" style="101" min="14081" max="14081"/>
    <col width="49" customWidth="1" style="101" min="14082" max="14082"/>
    <col width="10.42578125" customWidth="1" style="101" min="14083" max="14083"/>
    <col width="9.7109375" customWidth="1" style="101" min="14084" max="14084"/>
    <col width="12.7109375" customWidth="1" style="101" min="14085" max="14085"/>
    <col width="15.140625" customWidth="1" style="101" min="14086" max="14086"/>
    <col width="13.5703125" customWidth="1" style="101" min="14087" max="14087"/>
    <col width="14.85546875" customWidth="1" style="101" min="14088" max="14088"/>
    <col width="15.140625" customWidth="1" style="101" min="14089" max="14089"/>
    <col width="12.7109375" customWidth="1" style="101" min="14090" max="14090"/>
    <col width="9.140625" customWidth="1" style="101" min="14091" max="14091"/>
    <col width="14.42578125" customWidth="1" style="101" min="14092" max="14092"/>
    <col width="15.7109375" customWidth="1" style="101" min="14093" max="14096"/>
    <col width="14.5703125" customWidth="1" style="101" min="14097" max="14097"/>
    <col width="9.140625" customWidth="1" style="101" min="14098" max="14336"/>
    <col width="5.28515625" customWidth="1" style="101" min="14337" max="14337"/>
    <col width="49" customWidth="1" style="101" min="14338" max="14338"/>
    <col width="10.42578125" customWidth="1" style="101" min="14339" max="14339"/>
    <col width="9.7109375" customWidth="1" style="101" min="14340" max="14340"/>
    <col width="12.7109375" customWidth="1" style="101" min="14341" max="14341"/>
    <col width="15.140625" customWidth="1" style="101" min="14342" max="14342"/>
    <col width="13.5703125" customWidth="1" style="101" min="14343" max="14343"/>
    <col width="14.85546875" customWidth="1" style="101" min="14344" max="14344"/>
    <col width="15.140625" customWidth="1" style="101" min="14345" max="14345"/>
    <col width="12.7109375" customWidth="1" style="101" min="14346" max="14346"/>
    <col width="9.140625" customWidth="1" style="101" min="14347" max="14347"/>
    <col width="14.42578125" customWidth="1" style="101" min="14348" max="14348"/>
    <col width="15.7109375" customWidth="1" style="101" min="14349" max="14352"/>
    <col width="14.5703125" customWidth="1" style="101" min="14353" max="14353"/>
    <col width="9.140625" customWidth="1" style="101" min="14354" max="14592"/>
    <col width="5.28515625" customWidth="1" style="101" min="14593" max="14593"/>
    <col width="49" customWidth="1" style="101" min="14594" max="14594"/>
    <col width="10.42578125" customWidth="1" style="101" min="14595" max="14595"/>
    <col width="9.7109375" customWidth="1" style="101" min="14596" max="14596"/>
    <col width="12.7109375" customWidth="1" style="101" min="14597" max="14597"/>
    <col width="15.140625" customWidth="1" style="101" min="14598" max="14598"/>
    <col width="13.5703125" customWidth="1" style="101" min="14599" max="14599"/>
    <col width="14.85546875" customWidth="1" style="101" min="14600" max="14600"/>
    <col width="15.140625" customWidth="1" style="101" min="14601" max="14601"/>
    <col width="12.7109375" customWidth="1" style="101" min="14602" max="14602"/>
    <col width="9.140625" customWidth="1" style="101" min="14603" max="14603"/>
    <col width="14.42578125" customWidth="1" style="101" min="14604" max="14604"/>
    <col width="15.7109375" customWidth="1" style="101" min="14605" max="14608"/>
    <col width="14.5703125" customWidth="1" style="101" min="14609" max="14609"/>
    <col width="9.140625" customWidth="1" style="101" min="14610" max="14848"/>
    <col width="5.28515625" customWidth="1" style="101" min="14849" max="14849"/>
    <col width="49" customWidth="1" style="101" min="14850" max="14850"/>
    <col width="10.42578125" customWidth="1" style="101" min="14851" max="14851"/>
    <col width="9.7109375" customWidth="1" style="101" min="14852" max="14852"/>
    <col width="12.7109375" customWidth="1" style="101" min="14853" max="14853"/>
    <col width="15.140625" customWidth="1" style="101" min="14854" max="14854"/>
    <col width="13.5703125" customWidth="1" style="101" min="14855" max="14855"/>
    <col width="14.85546875" customWidth="1" style="101" min="14856" max="14856"/>
    <col width="15.140625" customWidth="1" style="101" min="14857" max="14857"/>
    <col width="12.7109375" customWidth="1" style="101" min="14858" max="14858"/>
    <col width="9.140625" customWidth="1" style="101" min="14859" max="14859"/>
    <col width="14.42578125" customWidth="1" style="101" min="14860" max="14860"/>
    <col width="15.7109375" customWidth="1" style="101" min="14861" max="14864"/>
    <col width="14.5703125" customWidth="1" style="101" min="14865" max="14865"/>
    <col width="9.140625" customWidth="1" style="101" min="14866" max="15104"/>
    <col width="5.28515625" customWidth="1" style="101" min="15105" max="15105"/>
    <col width="49" customWidth="1" style="101" min="15106" max="15106"/>
    <col width="10.42578125" customWidth="1" style="101" min="15107" max="15107"/>
    <col width="9.7109375" customWidth="1" style="101" min="15108" max="15108"/>
    <col width="12.7109375" customWidth="1" style="101" min="15109" max="15109"/>
    <col width="15.140625" customWidth="1" style="101" min="15110" max="15110"/>
    <col width="13.5703125" customWidth="1" style="101" min="15111" max="15111"/>
    <col width="14.85546875" customWidth="1" style="101" min="15112" max="15112"/>
    <col width="15.140625" customWidth="1" style="101" min="15113" max="15113"/>
    <col width="12.7109375" customWidth="1" style="101" min="15114" max="15114"/>
    <col width="9.140625" customWidth="1" style="101" min="15115" max="15115"/>
    <col width="14.42578125" customWidth="1" style="101" min="15116" max="15116"/>
    <col width="15.7109375" customWidth="1" style="101" min="15117" max="15120"/>
    <col width="14.5703125" customWidth="1" style="101" min="15121" max="15121"/>
    <col width="9.140625" customWidth="1" style="101" min="15122" max="15360"/>
    <col width="5.28515625" customWidth="1" style="101" min="15361" max="15361"/>
    <col width="49" customWidth="1" style="101" min="15362" max="15362"/>
    <col width="10.42578125" customWidth="1" style="101" min="15363" max="15363"/>
    <col width="9.7109375" customWidth="1" style="101" min="15364" max="15364"/>
    <col width="12.7109375" customWidth="1" style="101" min="15365" max="15365"/>
    <col width="15.140625" customWidth="1" style="101" min="15366" max="15366"/>
    <col width="13.5703125" customWidth="1" style="101" min="15367" max="15367"/>
    <col width="14.85546875" customWidth="1" style="101" min="15368" max="15368"/>
    <col width="15.140625" customWidth="1" style="101" min="15369" max="15369"/>
    <col width="12.7109375" customWidth="1" style="101" min="15370" max="15370"/>
    <col width="9.140625" customWidth="1" style="101" min="15371" max="15371"/>
    <col width="14.42578125" customWidth="1" style="101" min="15372" max="15372"/>
    <col width="15.7109375" customWidth="1" style="101" min="15373" max="15376"/>
    <col width="14.5703125" customWidth="1" style="101" min="15377" max="15377"/>
    <col width="9.140625" customWidth="1" style="101" min="15378" max="15616"/>
    <col width="5.28515625" customWidth="1" style="101" min="15617" max="15617"/>
    <col width="49" customWidth="1" style="101" min="15618" max="15618"/>
    <col width="10.42578125" customWidth="1" style="101" min="15619" max="15619"/>
    <col width="9.7109375" customWidth="1" style="101" min="15620" max="15620"/>
    <col width="12.7109375" customWidth="1" style="101" min="15621" max="15621"/>
    <col width="15.140625" customWidth="1" style="101" min="15622" max="15622"/>
    <col width="13.5703125" customWidth="1" style="101" min="15623" max="15623"/>
    <col width="14.85546875" customWidth="1" style="101" min="15624" max="15624"/>
    <col width="15.140625" customWidth="1" style="101" min="15625" max="15625"/>
    <col width="12.7109375" customWidth="1" style="101" min="15626" max="15626"/>
    <col width="9.140625" customWidth="1" style="101" min="15627" max="15627"/>
    <col width="14.42578125" customWidth="1" style="101" min="15628" max="15628"/>
    <col width="15.7109375" customWidth="1" style="101" min="15629" max="15632"/>
    <col width="14.5703125" customWidth="1" style="101" min="15633" max="15633"/>
    <col width="9.140625" customWidth="1" style="101" min="15634" max="15872"/>
    <col width="5.28515625" customWidth="1" style="101" min="15873" max="15873"/>
    <col width="49" customWidth="1" style="101" min="15874" max="15874"/>
    <col width="10.42578125" customWidth="1" style="101" min="15875" max="15875"/>
    <col width="9.7109375" customWidth="1" style="101" min="15876" max="15876"/>
    <col width="12.7109375" customWidth="1" style="101" min="15877" max="15877"/>
    <col width="15.140625" customWidth="1" style="101" min="15878" max="15878"/>
    <col width="13.5703125" customWidth="1" style="101" min="15879" max="15879"/>
    <col width="14.85546875" customWidth="1" style="101" min="15880" max="15880"/>
    <col width="15.140625" customWidth="1" style="101" min="15881" max="15881"/>
    <col width="12.7109375" customWidth="1" style="101" min="15882" max="15882"/>
    <col width="9.140625" customWidth="1" style="101" min="15883" max="15883"/>
    <col width="14.42578125" customWidth="1" style="101" min="15884" max="15884"/>
    <col width="15.7109375" customWidth="1" style="101" min="15885" max="15888"/>
    <col width="14.5703125" customWidth="1" style="101" min="15889" max="15889"/>
    <col width="9.140625" customWidth="1" style="101" min="15890" max="16128"/>
    <col width="5.28515625" customWidth="1" style="101" min="16129" max="16129"/>
    <col width="49" customWidth="1" style="101" min="16130" max="16130"/>
    <col width="10.42578125" customWidth="1" style="101" min="16131" max="16131"/>
    <col width="9.7109375" customWidth="1" style="101" min="16132" max="16132"/>
    <col width="12.7109375" customWidth="1" style="101" min="16133" max="16133"/>
    <col width="15.140625" customWidth="1" style="101" min="16134" max="16134"/>
    <col width="13.5703125" customWidth="1" style="101" min="16135" max="16135"/>
    <col width="14.85546875" customWidth="1" style="101" min="16136" max="16136"/>
    <col width="15.140625" customWidth="1" style="101" min="16137" max="16137"/>
    <col width="12.7109375" customWidth="1" style="101" min="16138" max="16138"/>
    <col width="9.140625" customWidth="1" style="101" min="16139" max="16139"/>
    <col width="14.42578125" customWidth="1" style="101" min="16140" max="16140"/>
    <col width="15.7109375" customWidth="1" style="101" min="16141" max="16144"/>
    <col width="14.5703125" customWidth="1" style="101" min="16145" max="16145"/>
    <col width="9.140625" customWidth="1" style="101" min="16146" max="16384"/>
  </cols>
  <sheetData>
    <row r="1" ht="20.25" customFormat="1" customHeight="1" s="29">
      <c r="A1" s="55" t="n"/>
      <c r="B1" s="55" t="n"/>
      <c r="C1" s="386" t="n"/>
      <c r="D1" s="386" t="n"/>
      <c r="E1" s="55" t="n"/>
      <c r="F1" s="55" t="n"/>
      <c r="G1" s="55" t="n"/>
      <c r="H1" s="55" t="n"/>
      <c r="I1" s="27" t="inlineStr">
        <is>
          <t>แบบ ปร.4</t>
        </is>
      </c>
      <c r="K1" s="90" t="n"/>
      <c r="L1" s="90" t="n"/>
      <c r="M1" s="30" t="n"/>
      <c r="N1" s="30" t="n"/>
      <c r="O1" s="30" t="n"/>
      <c r="P1" s="30" t="n"/>
    </row>
    <row r="2" customFormat="1" s="29">
      <c r="A2" s="386" t="inlineStr">
        <is>
          <t>รายการปริมาณงานและราคา</t>
        </is>
      </c>
      <c r="K2" s="90" t="n"/>
      <c r="L2" s="90" t="n"/>
      <c r="M2" s="30" t="n"/>
      <c r="N2" s="30" t="n"/>
      <c r="O2" s="30" t="n"/>
      <c r="P2" s="30" t="n"/>
    </row>
    <row r="3" customFormat="1" s="29">
      <c r="A3" s="238" t="inlineStr">
        <is>
          <t xml:space="preserve">งานก่อสร้าง  </t>
        </is>
      </c>
      <c r="B3" s="229" t="n"/>
      <c r="C3" s="230" t="n"/>
      <c r="D3" s="231" t="n"/>
      <c r="E3" s="231" t="n"/>
      <c r="F3" s="570" t="n"/>
      <c r="G3" s="570" t="n"/>
      <c r="H3" s="570" t="n"/>
      <c r="I3" s="570" t="n"/>
      <c r="M3" s="30" t="n"/>
      <c r="N3" s="30" t="n"/>
      <c r="O3" s="30" t="n"/>
      <c r="P3" s="30" t="n"/>
    </row>
    <row r="4" ht="21" customFormat="1" customHeight="1" s="29">
      <c r="A4" s="55" t="inlineStr">
        <is>
          <t xml:space="preserve">สถานที่ก่อสร้าง           </t>
        </is>
      </c>
      <c r="B4" s="232" t="n"/>
      <c r="C4" s="232" t="n"/>
      <c r="D4" s="232" t="n"/>
      <c r="E4" s="232" t="n"/>
      <c r="G4" s="387" t="inlineStr">
        <is>
          <t xml:space="preserve">จังหวัด          </t>
        </is>
      </c>
      <c r="M4" s="30" t="n"/>
      <c r="N4" s="30" t="n"/>
      <c r="O4" s="30" t="n"/>
      <c r="P4" s="30" t="n"/>
    </row>
    <row r="5" ht="24" customFormat="1" customHeight="1" s="91">
      <c r="A5" s="571" t="inlineStr">
        <is>
          <t>เลขที่</t>
        </is>
      </c>
      <c r="B5" s="571" t="inlineStr">
        <is>
          <t>รายการ</t>
        </is>
      </c>
      <c r="C5" s="572" t="inlineStr">
        <is>
          <t>จำนวน</t>
        </is>
      </c>
      <c r="D5" s="571" t="inlineStr">
        <is>
          <t>หน่วย</t>
        </is>
      </c>
      <c r="E5" s="572" t="inlineStr">
        <is>
          <t>ค่าวัสดุสิ่งของ</t>
        </is>
      </c>
      <c r="F5" s="566" t="n"/>
      <c r="G5" s="572" t="inlineStr">
        <is>
          <t>ค่าแรงงาน</t>
        </is>
      </c>
      <c r="H5" s="566" t="n"/>
      <c r="I5" s="572" t="inlineStr">
        <is>
          <t>รวมทั้งสิ้น</t>
        </is>
      </c>
      <c r="M5" s="92" t="n"/>
      <c r="N5" s="92" t="n"/>
      <c r="O5" s="92" t="n"/>
      <c r="P5" s="92" t="n"/>
    </row>
    <row r="6" ht="24" customFormat="1" customHeight="1" s="91">
      <c r="A6" s="560" t="n"/>
      <c r="B6" s="560" t="n"/>
      <c r="C6" s="560" t="n"/>
      <c r="D6" s="560" t="n"/>
      <c r="E6" s="572" t="inlineStr">
        <is>
          <t>ราคา/หน่วย</t>
        </is>
      </c>
      <c r="F6" s="572" t="inlineStr">
        <is>
          <t>จำนวนเงิน</t>
        </is>
      </c>
      <c r="G6" s="572" t="inlineStr">
        <is>
          <t>ราคา/หน่วย</t>
        </is>
      </c>
      <c r="H6" s="572" t="inlineStr">
        <is>
          <t>จำนวนเงิน</t>
        </is>
      </c>
      <c r="I6" s="560" t="n"/>
      <c r="J6" s="94" t="n"/>
      <c r="M6" s="92" t="n"/>
      <c r="N6" s="92" t="n"/>
      <c r="O6" s="92" t="n"/>
      <c r="P6" s="92" t="n"/>
    </row>
    <row r="7" ht="21.95" customFormat="1" customHeight="1" s="106">
      <c r="A7" s="95" t="n">
        <v>1</v>
      </c>
      <c r="B7" s="573" t="inlineStr">
        <is>
          <t xml:space="preserve">หมวดงานเตรียมพื้นที่และงานรื้อถอน </t>
        </is>
      </c>
      <c r="C7" s="574" t="n"/>
      <c r="D7" s="575" t="n"/>
      <c r="E7" s="576" t="n"/>
      <c r="F7" s="576" t="n"/>
      <c r="G7" s="576" t="n"/>
      <c r="H7" s="576" t="n"/>
      <c r="I7" s="576" t="n"/>
      <c r="J7" s="100" t="n"/>
      <c r="K7" s="101" t="n"/>
      <c r="L7" s="577" t="n"/>
      <c r="M7" s="578" t="n"/>
      <c r="N7" s="104" t="n"/>
      <c r="O7" s="104" t="n"/>
      <c r="P7" s="104" t="n"/>
      <c r="Q7" s="101" t="n"/>
      <c r="R7" s="101" t="n"/>
      <c r="S7" s="126" t="n"/>
      <c r="T7" s="126" t="n"/>
      <c r="U7" s="126" t="n"/>
      <c r="V7" s="126" t="n"/>
      <c r="W7" s="126" t="n"/>
      <c r="X7" s="126" t="n"/>
      <c r="Y7" s="126" t="n"/>
      <c r="Z7" s="126" t="n"/>
      <c r="AA7" s="126" t="n"/>
      <c r="AB7" s="126" t="n"/>
      <c r="AC7" s="126" t="n"/>
      <c r="AD7" s="126" t="n"/>
      <c r="AE7" s="126" t="n"/>
      <c r="AF7" s="126" t="n"/>
      <c r="AG7" s="126" t="n"/>
      <c r="AH7" s="126" t="n"/>
      <c r="AI7" s="126" t="n"/>
      <c r="AJ7" s="126" t="n"/>
      <c r="AK7" s="126" t="n"/>
      <c r="AL7" s="126" t="n"/>
      <c r="AM7" s="126" t="n"/>
      <c r="AN7" s="126" t="n"/>
      <c r="AO7" s="126" t="n"/>
      <c r="AP7" s="126" t="n"/>
      <c r="AQ7" s="126" t="n"/>
      <c r="AR7" s="126" t="n"/>
      <c r="AS7" s="126" t="n"/>
      <c r="AT7" s="126" t="n"/>
      <c r="AU7" s="126" t="n"/>
      <c r="AV7" s="126" t="n"/>
      <c r="AW7" s="126" t="n"/>
      <c r="AX7" s="126" t="n"/>
      <c r="AY7" s="126" t="n"/>
      <c r="AZ7" s="126" t="n"/>
      <c r="BA7" s="126" t="n"/>
      <c r="BB7" s="126" t="n"/>
      <c r="BC7" s="126" t="n"/>
      <c r="BD7" s="126" t="n"/>
      <c r="BE7" s="126" t="n"/>
      <c r="BF7" s="126" t="n"/>
      <c r="BG7" s="126" t="n"/>
    </row>
    <row r="8" ht="21.95" customFormat="1" customHeight="1" s="106">
      <c r="A8" s="107" t="n">
        <v>1.1</v>
      </c>
      <c r="B8" s="579" t="inlineStr">
        <is>
          <t>งานรื้อถอนพื้นที่โดยรอบ</t>
        </is>
      </c>
      <c r="C8" s="580" t="n"/>
      <c r="D8" s="581" t="n"/>
      <c r="E8" s="582" t="n"/>
      <c r="F8" s="582">
        <f>C8*E8</f>
        <v/>
      </c>
      <c r="G8" s="582" t="n"/>
      <c r="H8" s="582">
        <f>C8*G8</f>
        <v/>
      </c>
      <c r="I8" s="582">
        <f>F8+H8</f>
        <v/>
      </c>
      <c r="J8" s="100" t="n"/>
      <c r="K8" s="101" t="n"/>
      <c r="L8" s="577" t="n"/>
      <c r="M8" s="578" t="n"/>
      <c r="N8" s="104" t="n"/>
      <c r="O8" s="104" t="n"/>
      <c r="P8" s="104" t="n"/>
      <c r="Q8" s="101" t="n"/>
      <c r="R8" s="101" t="n"/>
      <c r="S8" s="126" t="n"/>
      <c r="T8" s="126" t="n"/>
      <c r="U8" s="126" t="n"/>
      <c r="V8" s="126" t="n"/>
      <c r="W8" s="126" t="n"/>
      <c r="X8" s="126" t="n"/>
      <c r="Y8" s="126" t="n"/>
      <c r="Z8" s="126" t="n"/>
      <c r="AA8" s="126" t="n"/>
      <c r="AB8" s="126" t="n"/>
      <c r="AC8" s="126" t="n"/>
      <c r="AD8" s="126" t="n"/>
      <c r="AE8" s="126" t="n"/>
      <c r="AF8" s="126" t="n"/>
      <c r="AG8" s="126" t="n"/>
      <c r="AH8" s="126" t="n"/>
      <c r="AI8" s="126" t="n"/>
      <c r="AJ8" s="126" t="n"/>
      <c r="AK8" s="126" t="n"/>
      <c r="AL8" s="126" t="n"/>
      <c r="AM8" s="126" t="n"/>
      <c r="AN8" s="126" t="n"/>
      <c r="AO8" s="126" t="n"/>
      <c r="AP8" s="126" t="n"/>
      <c r="AQ8" s="126" t="n"/>
      <c r="AR8" s="126" t="n"/>
      <c r="AS8" s="126" t="n"/>
      <c r="AT8" s="126" t="n"/>
      <c r="AU8" s="126" t="n"/>
      <c r="AV8" s="126" t="n"/>
      <c r="AW8" s="126" t="n"/>
      <c r="AX8" s="126" t="n"/>
      <c r="AY8" s="126" t="n"/>
      <c r="AZ8" s="126" t="n"/>
      <c r="BA8" s="126" t="n"/>
      <c r="BB8" s="126" t="n"/>
      <c r="BC8" s="126" t="n"/>
      <c r="BD8" s="126" t="n"/>
      <c r="BE8" s="126" t="n"/>
      <c r="BF8" s="126" t="n"/>
      <c r="BG8" s="126" t="n"/>
    </row>
    <row r="9" ht="21.95" customFormat="1" customHeight="1" s="106">
      <c r="A9" s="112" t="n"/>
      <c r="B9" s="583" t="inlineStr">
        <is>
          <t xml:space="preserve"> - งานรื้อถอนสถาปัตย์ผนังก่ออิฐบล็อกและผนังก่ออิฐบล็อกช่องลมบางส่วน </t>
        </is>
      </c>
      <c r="C9" s="580" t="n"/>
      <c r="D9" s="581" t="inlineStr">
        <is>
          <t>ตร.ม.</t>
        </is>
      </c>
      <c r="E9" s="582" t="n"/>
      <c r="F9" s="582">
        <f>C9*E9</f>
        <v/>
      </c>
      <c r="G9" s="582" t="n"/>
      <c r="H9" s="582">
        <f>C9*G9</f>
        <v/>
      </c>
      <c r="I9" s="582">
        <f>F9+H9</f>
        <v/>
      </c>
      <c r="J9" s="100" t="n"/>
      <c r="K9" s="101" t="n"/>
      <c r="L9" s="577" t="n"/>
      <c r="M9" s="578" t="n"/>
      <c r="N9" s="104" t="n"/>
      <c r="O9" s="104" t="n"/>
      <c r="P9" s="104" t="n"/>
      <c r="Q9" s="101" t="n"/>
      <c r="R9" s="101" t="n"/>
      <c r="S9" s="126" t="n"/>
      <c r="T9" s="126" t="n"/>
      <c r="U9" s="126" t="n"/>
      <c r="V9" s="126" t="n"/>
      <c r="W9" s="126" t="n"/>
      <c r="X9" s="126" t="n"/>
      <c r="Y9" s="126" t="n"/>
      <c r="Z9" s="126" t="n"/>
      <c r="AA9" s="126" t="n"/>
      <c r="AB9" s="126" t="n"/>
      <c r="AC9" s="126" t="n"/>
      <c r="AD9" s="126" t="n"/>
      <c r="AE9" s="126" t="n"/>
      <c r="AF9" s="126" t="n"/>
      <c r="AG9" s="126" t="n"/>
      <c r="AH9" s="126" t="n"/>
      <c r="AI9" s="126" t="n"/>
      <c r="AJ9" s="126" t="n"/>
      <c r="AK9" s="126" t="n"/>
      <c r="AL9" s="126" t="n"/>
      <c r="AM9" s="126" t="n"/>
      <c r="AN9" s="126" t="n"/>
      <c r="AO9" s="126" t="n"/>
      <c r="AP9" s="126" t="n"/>
      <c r="AQ9" s="126" t="n"/>
      <c r="AR9" s="126" t="n"/>
      <c r="AS9" s="126" t="n"/>
      <c r="AT9" s="126" t="n"/>
      <c r="AU9" s="126" t="n"/>
      <c r="AV9" s="126" t="n"/>
      <c r="AW9" s="126" t="n"/>
      <c r="AX9" s="126" t="n"/>
      <c r="AY9" s="126" t="n"/>
      <c r="AZ9" s="126" t="n"/>
      <c r="BA9" s="126" t="n"/>
      <c r="BB9" s="126" t="n"/>
      <c r="BC9" s="126" t="n"/>
      <c r="BD9" s="126" t="n"/>
      <c r="BE9" s="126" t="n"/>
      <c r="BF9" s="126" t="n"/>
      <c r="BG9" s="126" t="n"/>
    </row>
    <row r="10" hidden="1" ht="21.95" customFormat="1" customHeight="1" s="106">
      <c r="A10" s="112" t="n"/>
      <c r="B10" s="583" t="inlineStr">
        <is>
          <t xml:space="preserve"> - งานรื้อถอนท่อน้ำดี - น้ำทิ้ง นอกอาคารที่ไม่ใช้งาน</t>
        </is>
      </c>
      <c r="C10" s="580" t="n"/>
      <c r="D10" s="581" t="inlineStr">
        <is>
          <t>เหมา</t>
        </is>
      </c>
      <c r="E10" s="582" t="n"/>
      <c r="F10" s="582">
        <f>C10*E10</f>
        <v/>
      </c>
      <c r="G10" s="582" t="n"/>
      <c r="H10" s="582">
        <f>C10*G10</f>
        <v/>
      </c>
      <c r="I10" s="582">
        <f>F10+H10</f>
        <v/>
      </c>
      <c r="J10" s="100" t="n"/>
      <c r="K10" s="101" t="n"/>
      <c r="L10" s="577" t="n"/>
      <c r="M10" s="578" t="n"/>
      <c r="N10" s="104" t="n"/>
      <c r="O10" s="104" t="n"/>
      <c r="P10" s="104" t="n"/>
      <c r="Q10" s="101" t="n"/>
      <c r="R10" s="101" t="n"/>
      <c r="S10" s="126" t="n"/>
      <c r="T10" s="126" t="n"/>
      <c r="U10" s="126" t="n"/>
      <c r="V10" s="126" t="n"/>
      <c r="W10" s="126" t="n"/>
      <c r="X10" s="126" t="n"/>
      <c r="Y10" s="126" t="n"/>
      <c r="Z10" s="126" t="n"/>
      <c r="AA10" s="126" t="n"/>
      <c r="AB10" s="126" t="n"/>
      <c r="AC10" s="126" t="n"/>
      <c r="AD10" s="126" t="n"/>
      <c r="AE10" s="126" t="n"/>
      <c r="AF10" s="126" t="n"/>
      <c r="AG10" s="126" t="n"/>
      <c r="AH10" s="126" t="n"/>
      <c r="AI10" s="126" t="n"/>
      <c r="AJ10" s="126" t="n"/>
      <c r="AK10" s="126" t="n"/>
      <c r="AL10" s="126" t="n"/>
      <c r="AM10" s="126" t="n"/>
      <c r="AN10" s="126" t="n"/>
      <c r="AO10" s="126" t="n"/>
      <c r="AP10" s="126" t="n"/>
      <c r="AQ10" s="126" t="n"/>
      <c r="AR10" s="126" t="n"/>
      <c r="AS10" s="126" t="n"/>
      <c r="AT10" s="126" t="n"/>
      <c r="AU10" s="126" t="n"/>
      <c r="AV10" s="126" t="n"/>
      <c r="AW10" s="126" t="n"/>
      <c r="AX10" s="126" t="n"/>
      <c r="AY10" s="126" t="n"/>
      <c r="AZ10" s="126" t="n"/>
      <c r="BA10" s="126" t="n"/>
      <c r="BB10" s="126" t="n"/>
      <c r="BC10" s="126" t="n"/>
      <c r="BD10" s="126" t="n"/>
      <c r="BE10" s="126" t="n"/>
      <c r="BF10" s="126" t="n"/>
      <c r="BG10" s="126" t="n"/>
    </row>
    <row r="11" hidden="1" ht="21.95" customFormat="1" customHeight="1" s="106">
      <c r="A11" s="112" t="n"/>
      <c r="B11" s="583" t="inlineStr">
        <is>
          <t xml:space="preserve"> - งานรื้อถอนประตูบานไม้ทางขึ้นบันไดชั้น 2</t>
        </is>
      </c>
      <c r="C11" s="580" t="n"/>
      <c r="D11" s="581" t="inlineStr">
        <is>
          <t>ชุด</t>
        </is>
      </c>
      <c r="E11" s="582" t="n"/>
      <c r="F11" s="582">
        <f>C11*E11</f>
        <v/>
      </c>
      <c r="G11" s="582" t="n"/>
      <c r="H11" s="582">
        <f>C11*G11</f>
        <v/>
      </c>
      <c r="I11" s="582">
        <f>F11+H11</f>
        <v/>
      </c>
      <c r="J11" s="100" t="n"/>
      <c r="K11" s="101" t="n"/>
      <c r="L11" s="577" t="n"/>
      <c r="M11" s="578" t="n"/>
      <c r="N11" s="104" t="n"/>
      <c r="O11" s="104" t="n"/>
      <c r="P11" s="104" t="n"/>
      <c r="Q11" s="101" t="n"/>
      <c r="R11" s="101" t="n"/>
      <c r="S11" s="126" t="n"/>
      <c r="T11" s="126" t="n"/>
      <c r="U11" s="126" t="n"/>
      <c r="V11" s="126" t="n"/>
      <c r="W11" s="126" t="n"/>
      <c r="X11" s="126" t="n"/>
      <c r="Y11" s="126" t="n"/>
      <c r="Z11" s="126" t="n"/>
      <c r="AA11" s="126" t="n"/>
      <c r="AB11" s="126" t="n"/>
      <c r="AC11" s="126" t="n"/>
      <c r="AD11" s="126" t="n"/>
      <c r="AE11" s="126" t="n"/>
      <c r="AF11" s="126" t="n"/>
      <c r="AG11" s="126" t="n"/>
      <c r="AH11" s="126" t="n"/>
      <c r="AI11" s="126" t="n"/>
      <c r="AJ11" s="126" t="n"/>
      <c r="AK11" s="126" t="n"/>
      <c r="AL11" s="126" t="n"/>
      <c r="AM11" s="126" t="n"/>
      <c r="AN11" s="126" t="n"/>
      <c r="AO11" s="126" t="n"/>
      <c r="AP11" s="126" t="n"/>
      <c r="AQ11" s="126" t="n"/>
      <c r="AR11" s="126" t="n"/>
      <c r="AS11" s="126" t="n"/>
      <c r="AT11" s="126" t="n"/>
      <c r="AU11" s="126" t="n"/>
      <c r="AV11" s="126" t="n"/>
      <c r="AW11" s="126" t="n"/>
      <c r="AX11" s="126" t="n"/>
      <c r="AY11" s="126" t="n"/>
      <c r="AZ11" s="126" t="n"/>
      <c r="BA11" s="126" t="n"/>
      <c r="BB11" s="126" t="n"/>
      <c r="BC11" s="126" t="n"/>
      <c r="BD11" s="126" t="n"/>
      <c r="BE11" s="126" t="n"/>
      <c r="BF11" s="126" t="n"/>
      <c r="BG11" s="126" t="n"/>
    </row>
    <row r="12" hidden="1" ht="21.95" customFormat="1" customHeight="1" s="106">
      <c r="A12" s="112" t="n"/>
      <c r="B12" s="583" t="inlineStr">
        <is>
          <t xml:space="preserve"> - งานรื้อถอนประตูเหล็กทางขึ้นบันไดชั้น 2</t>
        </is>
      </c>
      <c r="C12" s="580" t="n"/>
      <c r="D12" s="581" t="inlineStr">
        <is>
          <t>ชุด</t>
        </is>
      </c>
      <c r="E12" s="582" t="n"/>
      <c r="F12" s="582">
        <f>C12*E12</f>
        <v/>
      </c>
      <c r="G12" s="582" t="n"/>
      <c r="H12" s="582">
        <f>C12*G12</f>
        <v/>
      </c>
      <c r="I12" s="582">
        <f>F12+H12</f>
        <v/>
      </c>
      <c r="J12" s="100" t="n"/>
      <c r="K12" s="101" t="n"/>
      <c r="L12" s="577" t="n"/>
      <c r="M12" s="578" t="n"/>
      <c r="N12" s="104" t="n"/>
      <c r="O12" s="104" t="n"/>
      <c r="P12" s="104" t="n"/>
      <c r="Q12" s="101" t="n"/>
      <c r="R12" s="101" t="n"/>
      <c r="S12" s="126" t="n"/>
      <c r="T12" s="126" t="n"/>
      <c r="U12" s="126" t="n"/>
      <c r="V12" s="126" t="n"/>
      <c r="W12" s="126" t="n"/>
      <c r="X12" s="126" t="n"/>
      <c r="Y12" s="126" t="n"/>
      <c r="Z12" s="126" t="n"/>
      <c r="AA12" s="126" t="n"/>
      <c r="AB12" s="126" t="n"/>
      <c r="AC12" s="126" t="n"/>
      <c r="AD12" s="126" t="n"/>
      <c r="AE12" s="126" t="n"/>
      <c r="AF12" s="126" t="n"/>
      <c r="AG12" s="126" t="n"/>
      <c r="AH12" s="126" t="n"/>
      <c r="AI12" s="126" t="n"/>
      <c r="AJ12" s="126" t="n"/>
      <c r="AK12" s="126" t="n"/>
      <c r="AL12" s="126" t="n"/>
      <c r="AM12" s="126" t="n"/>
      <c r="AN12" s="126" t="n"/>
      <c r="AO12" s="126" t="n"/>
      <c r="AP12" s="126" t="n"/>
      <c r="AQ12" s="126" t="n"/>
      <c r="AR12" s="126" t="n"/>
      <c r="AS12" s="126" t="n"/>
      <c r="AT12" s="126" t="n"/>
      <c r="AU12" s="126" t="n"/>
      <c r="AV12" s="126" t="n"/>
      <c r="AW12" s="126" t="n"/>
      <c r="AX12" s="126" t="n"/>
      <c r="AY12" s="126" t="n"/>
      <c r="AZ12" s="126" t="n"/>
      <c r="BA12" s="126" t="n"/>
      <c r="BB12" s="126" t="n"/>
      <c r="BC12" s="126" t="n"/>
      <c r="BD12" s="126" t="n"/>
      <c r="BE12" s="126" t="n"/>
      <c r="BF12" s="126" t="n"/>
      <c r="BG12" s="126" t="n"/>
    </row>
    <row r="13" hidden="1" ht="21.95" customFormat="1" customHeight="1" s="106">
      <c r="A13" s="112" t="n"/>
      <c r="B13" s="583" t="inlineStr">
        <is>
          <t xml:space="preserve"> - งานรื้อถอนผนังก่ออิฐมอญครึ่งแผ่นทางขึ้นบันไดชั้น 2</t>
        </is>
      </c>
      <c r="C13" s="580" t="n"/>
      <c r="D13" s="581" t="inlineStr">
        <is>
          <t>ตร.ม.</t>
        </is>
      </c>
      <c r="E13" s="582" t="n"/>
      <c r="F13" s="582">
        <f>C13*E13</f>
        <v/>
      </c>
      <c r="G13" s="582" t="n"/>
      <c r="H13" s="582">
        <f>C13*G13</f>
        <v/>
      </c>
      <c r="I13" s="582">
        <f>F13+H13</f>
        <v/>
      </c>
      <c r="J13" s="100" t="n"/>
      <c r="K13" s="101" t="n"/>
      <c r="L13" s="577" t="n"/>
      <c r="M13" s="578" t="n"/>
      <c r="N13" s="104" t="n"/>
      <c r="O13" s="104" t="n"/>
      <c r="P13" s="104" t="n"/>
      <c r="Q13" s="101" t="n"/>
      <c r="R13" s="101" t="n"/>
      <c r="S13" s="126" t="n"/>
      <c r="T13" s="126" t="n"/>
      <c r="U13" s="126" t="n"/>
      <c r="V13" s="126" t="n"/>
      <c r="W13" s="126" t="n"/>
      <c r="X13" s="126" t="n"/>
      <c r="Y13" s="126" t="n"/>
      <c r="Z13" s="126" t="n"/>
      <c r="AA13" s="126" t="n"/>
      <c r="AB13" s="126" t="n"/>
      <c r="AC13" s="126" t="n"/>
      <c r="AD13" s="126" t="n"/>
      <c r="AE13" s="126" t="n"/>
      <c r="AF13" s="126" t="n"/>
      <c r="AG13" s="126" t="n"/>
      <c r="AH13" s="126" t="n"/>
      <c r="AI13" s="126" t="n"/>
      <c r="AJ13" s="126" t="n"/>
      <c r="AK13" s="126" t="n"/>
      <c r="AL13" s="126" t="n"/>
      <c r="AM13" s="126" t="n"/>
      <c r="AN13" s="126" t="n"/>
      <c r="AO13" s="126" t="n"/>
      <c r="AP13" s="126" t="n"/>
      <c r="AQ13" s="126" t="n"/>
      <c r="AR13" s="126" t="n"/>
      <c r="AS13" s="126" t="n"/>
      <c r="AT13" s="126" t="n"/>
      <c r="AU13" s="126" t="n"/>
      <c r="AV13" s="126" t="n"/>
      <c r="AW13" s="126" t="n"/>
      <c r="AX13" s="126" t="n"/>
      <c r="AY13" s="126" t="n"/>
      <c r="AZ13" s="126" t="n"/>
      <c r="BA13" s="126" t="n"/>
      <c r="BB13" s="126" t="n"/>
      <c r="BC13" s="126" t="n"/>
      <c r="BD13" s="126" t="n"/>
      <c r="BE13" s="126" t="n"/>
      <c r="BF13" s="126" t="n"/>
      <c r="BG13" s="126" t="n"/>
    </row>
    <row r="14" ht="21.95" customFormat="1" customHeight="1" s="106">
      <c r="A14" s="107" t="n">
        <v>1.2</v>
      </c>
      <c r="B14" s="579" t="inlineStr">
        <is>
          <t>งานรื้อถอนพื้นที่ห้องน้ำ</t>
        </is>
      </c>
      <c r="C14" s="580" t="n"/>
      <c r="D14" s="581" t="n"/>
      <c r="E14" s="582" t="n"/>
      <c r="F14" s="582">
        <f>C14*E14</f>
        <v/>
      </c>
      <c r="G14" s="582" t="n"/>
      <c r="H14" s="582">
        <f>C14*G14</f>
        <v/>
      </c>
      <c r="I14" s="582">
        <f>F14+H14</f>
        <v/>
      </c>
      <c r="J14" s="100" t="n"/>
      <c r="K14" s="101" t="n"/>
      <c r="L14" s="577" t="n"/>
      <c r="M14" s="578" t="n"/>
      <c r="N14" s="104" t="n"/>
      <c r="O14" s="104" t="n"/>
      <c r="P14" s="104" t="n"/>
      <c r="Q14" s="101" t="n"/>
      <c r="R14" s="101" t="n"/>
      <c r="S14" s="126" t="n"/>
      <c r="T14" s="126" t="n"/>
      <c r="U14" s="126" t="n"/>
      <c r="V14" s="126" t="n"/>
      <c r="W14" s="126" t="n"/>
      <c r="X14" s="126" t="n"/>
      <c r="Y14" s="126" t="n"/>
      <c r="Z14" s="126" t="n"/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  <c r="AN14" s="126" t="n"/>
      <c r="AO14" s="126" t="n"/>
      <c r="AP14" s="126" t="n"/>
      <c r="AQ14" s="126" t="n"/>
      <c r="AR14" s="126" t="n"/>
      <c r="AS14" s="126" t="n"/>
      <c r="AT14" s="126" t="n"/>
      <c r="AU14" s="126" t="n"/>
      <c r="AV14" s="126" t="n"/>
      <c r="AW14" s="126" t="n"/>
      <c r="AX14" s="126" t="n"/>
      <c r="AY14" s="126" t="n"/>
      <c r="AZ14" s="126" t="n"/>
      <c r="BA14" s="126" t="n"/>
      <c r="BB14" s="126" t="n"/>
      <c r="BC14" s="126" t="n"/>
      <c r="BD14" s="126" t="n"/>
      <c r="BE14" s="126" t="n"/>
      <c r="BF14" s="126" t="n"/>
      <c r="BG14" s="126" t="n"/>
    </row>
    <row r="15" ht="21.95" customFormat="1" customHeight="1" s="106">
      <c r="A15" s="112" t="n"/>
      <c r="B15" s="583" t="inlineStr">
        <is>
          <t xml:space="preserve"> - งานรื้อถอนระบบสุขาภิบาลท่อขนาดต่างๆของห้องน้ำ</t>
        </is>
      </c>
      <c r="C15" s="580" t="n"/>
      <c r="D15" s="581" t="inlineStr">
        <is>
          <t>ห้อง</t>
        </is>
      </c>
      <c r="E15" s="582" t="n"/>
      <c r="F15" s="582">
        <f>C15*E15</f>
        <v/>
      </c>
      <c r="G15" s="582" t="n"/>
      <c r="H15" s="582">
        <f>C15*G15</f>
        <v/>
      </c>
      <c r="I15" s="582">
        <f>F15+H15</f>
        <v/>
      </c>
      <c r="J15" s="100" t="n"/>
      <c r="K15" s="101" t="n"/>
      <c r="L15" s="577" t="n"/>
      <c r="M15" s="578" t="n"/>
      <c r="N15" s="104" t="n"/>
      <c r="O15" s="104" t="n"/>
      <c r="P15" s="104" t="n"/>
      <c r="Q15" s="101" t="n"/>
      <c r="R15" s="101" t="n"/>
      <c r="S15" s="126" t="n"/>
      <c r="T15" s="126" t="n"/>
      <c r="U15" s="126" t="n"/>
      <c r="V15" s="126" t="n"/>
      <c r="W15" s="126" t="n"/>
      <c r="X15" s="126" t="n"/>
      <c r="Y15" s="126" t="n"/>
      <c r="Z15" s="126" t="n"/>
      <c r="AA15" s="126" t="n"/>
      <c r="AB15" s="126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  <c r="AK15" s="126" t="n"/>
      <c r="AL15" s="126" t="n"/>
      <c r="AM15" s="126" t="n"/>
      <c r="AN15" s="126" t="n"/>
      <c r="AO15" s="126" t="n"/>
      <c r="AP15" s="126" t="n"/>
      <c r="AQ15" s="126" t="n"/>
      <c r="AR15" s="126" t="n"/>
      <c r="AS15" s="126" t="n"/>
      <c r="AT15" s="126" t="n"/>
      <c r="AU15" s="126" t="n"/>
      <c r="AV15" s="126" t="n"/>
      <c r="AW15" s="126" t="n"/>
      <c r="AX15" s="126" t="n"/>
      <c r="AY15" s="126" t="n"/>
      <c r="AZ15" s="126" t="n"/>
      <c r="BA15" s="126" t="n"/>
      <c r="BB15" s="126" t="n"/>
      <c r="BC15" s="126" t="n"/>
      <c r="BD15" s="126" t="n"/>
      <c r="BE15" s="126" t="n"/>
      <c r="BF15" s="126" t="n"/>
      <c r="BG15" s="126" t="n"/>
    </row>
    <row r="16" ht="21.95" customFormat="1" customHeight="1" s="106">
      <c r="A16" s="107" t="n">
        <v>1.3</v>
      </c>
      <c r="B16" s="579" t="inlineStr">
        <is>
          <t>งานรื้อถอนพื้นที่หลังคา</t>
        </is>
      </c>
      <c r="C16" s="580" t="n"/>
      <c r="D16" s="581" t="n"/>
      <c r="E16" s="582" t="n"/>
      <c r="F16" s="582">
        <f>C16*E16</f>
        <v/>
      </c>
      <c r="G16" s="582" t="n"/>
      <c r="H16" s="582">
        <f>C16*G16</f>
        <v/>
      </c>
      <c r="I16" s="582">
        <f>F16+H16</f>
        <v/>
      </c>
      <c r="J16" s="100" t="n"/>
      <c r="K16" s="101" t="n"/>
      <c r="L16" s="577" t="n"/>
      <c r="M16" s="578" t="n"/>
      <c r="N16" s="104" t="n"/>
      <c r="O16" s="104" t="n"/>
      <c r="P16" s="104" t="n"/>
      <c r="Q16" s="101" t="n"/>
      <c r="R16" s="101" t="n"/>
      <c r="S16" s="126" t="n"/>
      <c r="T16" s="126" t="n"/>
      <c r="U16" s="126" t="n"/>
      <c r="V16" s="126" t="n"/>
      <c r="W16" s="126" t="n"/>
      <c r="X16" s="126" t="n"/>
      <c r="Y16" s="126" t="n"/>
      <c r="Z16" s="126" t="n"/>
      <c r="AA16" s="126" t="n"/>
      <c r="AB16" s="126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126" t="n"/>
      <c r="AL16" s="126" t="n"/>
      <c r="AM16" s="126" t="n"/>
      <c r="AN16" s="126" t="n"/>
      <c r="AO16" s="126" t="n"/>
      <c r="AP16" s="126" t="n"/>
      <c r="AQ16" s="126" t="n"/>
      <c r="AR16" s="126" t="n"/>
      <c r="AS16" s="126" t="n"/>
      <c r="AT16" s="126" t="n"/>
      <c r="AU16" s="126" t="n"/>
      <c r="AV16" s="126" t="n"/>
      <c r="AW16" s="126" t="n"/>
      <c r="AX16" s="126" t="n"/>
      <c r="AY16" s="126" t="n"/>
      <c r="AZ16" s="126" t="n"/>
      <c r="BA16" s="126" t="n"/>
      <c r="BB16" s="126" t="n"/>
      <c r="BC16" s="126" t="n"/>
      <c r="BD16" s="126" t="n"/>
      <c r="BE16" s="126" t="n"/>
      <c r="BF16" s="126" t="n"/>
      <c r="BG16" s="126" t="n"/>
    </row>
    <row r="17" ht="21.95" customFormat="1" customHeight="1" s="106">
      <c r="A17" s="114" t="n"/>
      <c r="B17" s="583" t="inlineStr">
        <is>
          <t xml:space="preserve"> - งานรื้อถอนโครงสร้างหลังคาบางส่วนที่ชำรุด</t>
        </is>
      </c>
      <c r="C17" s="580" t="n"/>
      <c r="D17" s="581" t="inlineStr">
        <is>
          <t>ตร.ม.</t>
        </is>
      </c>
      <c r="E17" s="582" t="n"/>
      <c r="F17" s="582">
        <f>C17*E17</f>
        <v/>
      </c>
      <c r="G17" s="582" t="n"/>
      <c r="H17" s="582">
        <f>C17*G17</f>
        <v/>
      </c>
      <c r="I17" s="582">
        <f>F17+H17</f>
        <v/>
      </c>
      <c r="J17" s="100" t="n"/>
      <c r="K17" s="101" t="n"/>
      <c r="L17" s="577" t="n"/>
      <c r="M17" s="578" t="n"/>
      <c r="N17" s="104" t="n"/>
      <c r="O17" s="104" t="n"/>
      <c r="P17" s="104" t="n"/>
      <c r="Q17" s="101" t="n"/>
      <c r="R17" s="101" t="n"/>
      <c r="S17" s="126" t="n"/>
      <c r="T17" s="126" t="n"/>
      <c r="U17" s="126" t="n"/>
      <c r="V17" s="126" t="n"/>
      <c r="W17" s="126" t="n"/>
      <c r="X17" s="126" t="n"/>
      <c r="Y17" s="126" t="n"/>
      <c r="Z17" s="126" t="n"/>
      <c r="AA17" s="126" t="n"/>
      <c r="AB17" s="126" t="n"/>
      <c r="AC17" s="126" t="n"/>
      <c r="AD17" s="126" t="n"/>
      <c r="AE17" s="126" t="n"/>
      <c r="AF17" s="126" t="n"/>
      <c r="AG17" s="126" t="n"/>
      <c r="AH17" s="126" t="n"/>
      <c r="AI17" s="126" t="n"/>
      <c r="AJ17" s="126" t="n"/>
      <c r="AK17" s="126" t="n"/>
      <c r="AL17" s="126" t="n"/>
      <c r="AM17" s="126" t="n"/>
      <c r="AN17" s="126" t="n"/>
      <c r="AO17" s="126" t="n"/>
      <c r="AP17" s="126" t="n"/>
      <c r="AQ17" s="126" t="n"/>
      <c r="AR17" s="126" t="n"/>
      <c r="AS17" s="126" t="n"/>
      <c r="AT17" s="126" t="n"/>
      <c r="AU17" s="126" t="n"/>
      <c r="AV17" s="126" t="n"/>
      <c r="AW17" s="126" t="n"/>
      <c r="AX17" s="126" t="n"/>
      <c r="AY17" s="126" t="n"/>
      <c r="AZ17" s="126" t="n"/>
      <c r="BA17" s="126" t="n"/>
      <c r="BB17" s="126" t="n"/>
      <c r="BC17" s="126" t="n"/>
      <c r="BD17" s="126" t="n"/>
      <c r="BE17" s="126" t="n"/>
      <c r="BF17" s="126" t="n"/>
      <c r="BG17" s="126" t="n"/>
    </row>
    <row r="18" ht="21.95" customFormat="1" customHeight="1" s="106">
      <c r="A18" s="115" t="n"/>
      <c r="B18" s="584" t="n"/>
      <c r="C18" s="585" t="n"/>
      <c r="D18" s="586" t="n"/>
      <c r="E18" s="587" t="n"/>
      <c r="F18" s="587">
        <f>C18*E18</f>
        <v/>
      </c>
      <c r="G18" s="587" t="n"/>
      <c r="H18" s="587">
        <f>C18*G18</f>
        <v/>
      </c>
      <c r="I18" s="587">
        <f>F18+H18</f>
        <v/>
      </c>
      <c r="J18" s="100" t="n"/>
      <c r="K18" s="101" t="n"/>
      <c r="L18" s="577" t="n"/>
      <c r="M18" s="578" t="n"/>
      <c r="N18" s="104" t="n"/>
      <c r="O18" s="104" t="n"/>
      <c r="P18" s="104" t="n"/>
      <c r="Q18" s="101" t="n"/>
      <c r="R18" s="101" t="n"/>
      <c r="S18" s="126" t="n"/>
      <c r="T18" s="126" t="n"/>
      <c r="U18" s="126" t="n"/>
      <c r="V18" s="126" t="n"/>
      <c r="W18" s="126" t="n"/>
      <c r="X18" s="126" t="n"/>
      <c r="Y18" s="126" t="n"/>
      <c r="Z18" s="126" t="n"/>
      <c r="AA18" s="126" t="n"/>
      <c r="AB18" s="126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  <c r="AL18" s="126" t="n"/>
      <c r="AM18" s="126" t="n"/>
      <c r="AN18" s="126" t="n"/>
      <c r="AO18" s="126" t="n"/>
      <c r="AP18" s="126" t="n"/>
      <c r="AQ18" s="126" t="n"/>
      <c r="AR18" s="126" t="n"/>
      <c r="AS18" s="126" t="n"/>
      <c r="AT18" s="126" t="n"/>
      <c r="AU18" s="126" t="n"/>
      <c r="AV18" s="126" t="n"/>
      <c r="AW18" s="126" t="n"/>
      <c r="AX18" s="126" t="n"/>
      <c r="AY18" s="126" t="n"/>
      <c r="AZ18" s="126" t="n"/>
      <c r="BA18" s="126" t="n"/>
      <c r="BB18" s="126" t="n"/>
      <c r="BC18" s="126" t="n"/>
      <c r="BD18" s="126" t="n"/>
      <c r="BE18" s="126" t="n"/>
      <c r="BF18" s="126" t="n"/>
      <c r="BG18" s="126" t="n"/>
    </row>
    <row r="19" ht="21.95" customFormat="1" customHeight="1" s="106">
      <c r="A19" s="393" t="inlineStr">
        <is>
          <t>รวมราคาค่าแรงและค่าวัสดุ 1</t>
        </is>
      </c>
      <c r="B19" s="588" t="n"/>
      <c r="C19" s="588" t="n"/>
      <c r="D19" s="588" t="n"/>
      <c r="E19" s="566" t="n"/>
      <c r="F19" s="572">
        <f>SUM(F8:F18)</f>
        <v/>
      </c>
      <c r="G19" s="572" t="n"/>
      <c r="H19" s="572">
        <f>SUM(H9:H18)</f>
        <v/>
      </c>
      <c r="I19" s="572">
        <f>SUM(I9:I18)</f>
        <v/>
      </c>
      <c r="J19" s="100" t="n"/>
      <c r="K19" s="101" t="n"/>
      <c r="L19" s="577" t="n"/>
      <c r="M19" s="578" t="n"/>
      <c r="N19" s="104" t="n"/>
      <c r="O19" s="104" t="n"/>
      <c r="P19" s="104" t="n"/>
      <c r="Q19" s="101" t="n"/>
      <c r="R19" s="101" t="n"/>
      <c r="S19" s="126" t="n"/>
      <c r="T19" s="126" t="n"/>
      <c r="U19" s="126" t="n"/>
      <c r="V19" s="126" t="n"/>
      <c r="W19" s="126" t="n"/>
      <c r="X19" s="126" t="n"/>
      <c r="Y19" s="126" t="n"/>
      <c r="Z19" s="126" t="n"/>
      <c r="AA19" s="126" t="n"/>
      <c r="AB19" s="126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  <c r="AK19" s="126" t="n"/>
      <c r="AL19" s="126" t="n"/>
      <c r="AM19" s="126" t="n"/>
      <c r="AN19" s="126" t="n"/>
      <c r="AO19" s="126" t="n"/>
      <c r="AP19" s="126" t="n"/>
      <c r="AQ19" s="126" t="n"/>
      <c r="AR19" s="126" t="n"/>
      <c r="AS19" s="126" t="n"/>
      <c r="AT19" s="126" t="n"/>
      <c r="AU19" s="126" t="n"/>
      <c r="AV19" s="126" t="n"/>
      <c r="AW19" s="126" t="n"/>
      <c r="AX19" s="126" t="n"/>
      <c r="AY19" s="126" t="n"/>
      <c r="AZ19" s="126" t="n"/>
      <c r="BA19" s="126" t="n"/>
      <c r="BB19" s="126" t="n"/>
      <c r="BC19" s="126" t="n"/>
      <c r="BD19" s="126" t="n"/>
      <c r="BE19" s="126" t="n"/>
      <c r="BF19" s="126" t="n"/>
      <c r="BG19" s="126" t="n"/>
    </row>
    <row r="20" ht="21.95" customFormat="1" customHeight="1" s="106">
      <c r="A20" s="95" t="n">
        <v>2</v>
      </c>
      <c r="B20" s="573" t="inlineStr">
        <is>
          <t>หมวดงานโครงสร้างหลังคา</t>
        </is>
      </c>
      <c r="C20" s="574" t="n"/>
      <c r="D20" s="575" t="n"/>
      <c r="E20" s="576" t="n"/>
      <c r="F20" s="576" t="n"/>
      <c r="G20" s="576" t="n"/>
      <c r="H20" s="576" t="n"/>
      <c r="I20" s="576" t="n"/>
      <c r="J20" s="100" t="n"/>
      <c r="K20" s="101" t="n"/>
      <c r="L20" s="577" t="n"/>
      <c r="M20" s="578" t="n"/>
      <c r="N20" s="104" t="n"/>
      <c r="O20" s="104" t="n"/>
      <c r="P20" s="104" t="n"/>
      <c r="Q20" s="101" t="n"/>
      <c r="R20" s="101" t="n"/>
      <c r="S20" s="126" t="n"/>
      <c r="T20" s="126" t="n"/>
      <c r="U20" s="126" t="n"/>
      <c r="V20" s="126" t="n"/>
      <c r="W20" s="126" t="n"/>
      <c r="X20" s="126" t="n"/>
      <c r="Y20" s="126" t="n"/>
      <c r="Z20" s="126" t="n"/>
      <c r="AA20" s="126" t="n"/>
      <c r="AB20" s="126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  <c r="AK20" s="126" t="n"/>
      <c r="AL20" s="126" t="n"/>
      <c r="AM20" s="126" t="n"/>
      <c r="AN20" s="126" t="n"/>
      <c r="AO20" s="126" t="n"/>
      <c r="AP20" s="126" t="n"/>
      <c r="AQ20" s="126" t="n"/>
      <c r="AR20" s="126" t="n"/>
      <c r="AS20" s="126" t="n"/>
      <c r="AT20" s="126" t="n"/>
      <c r="AU20" s="126" t="n"/>
      <c r="AV20" s="126" t="n"/>
      <c r="AW20" s="126" t="n"/>
      <c r="AX20" s="126" t="n"/>
      <c r="AY20" s="126" t="n"/>
      <c r="AZ20" s="126" t="n"/>
      <c r="BA20" s="126" t="n"/>
      <c r="BB20" s="126" t="n"/>
      <c r="BC20" s="126" t="n"/>
      <c r="BD20" s="126" t="n"/>
      <c r="BE20" s="126" t="n"/>
      <c r="BF20" s="126" t="n"/>
      <c r="BG20" s="126" t="n"/>
    </row>
    <row r="21" ht="21.95" customFormat="1" customHeight="1" s="106">
      <c r="A21" s="114" t="n"/>
      <c r="B21" s="582" t="inlineStr">
        <is>
          <t xml:space="preserve"> - งานติดตั้งโครงหลังคาสำเร็จรูปใหม่ในส่วนที่ชำรุด</t>
        </is>
      </c>
      <c r="C21" s="580" t="n"/>
      <c r="D21" s="581" t="inlineStr">
        <is>
          <t>ตร.ม.</t>
        </is>
      </c>
      <c r="E21" s="589" t="n"/>
      <c r="F21" s="589">
        <f>C21*E21</f>
        <v/>
      </c>
      <c r="G21" s="589" t="n"/>
      <c r="H21" s="589">
        <f>C21*G21</f>
        <v/>
      </c>
      <c r="I21" s="582">
        <f>F21+H21</f>
        <v/>
      </c>
      <c r="J21" s="100" t="n"/>
      <c r="K21" s="153" t="n"/>
      <c r="L21" s="577" t="n"/>
      <c r="M21" s="578" t="n"/>
      <c r="N21" s="104" t="n"/>
      <c r="O21" s="104" t="n"/>
      <c r="P21" s="104" t="n"/>
      <c r="Q21" s="101" t="n"/>
      <c r="R21" s="101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  <c r="AO21" s="126" t="n"/>
      <c r="AP21" s="126" t="n"/>
      <c r="AQ21" s="126" t="n"/>
      <c r="AR21" s="126" t="n"/>
      <c r="AS21" s="126" t="n"/>
      <c r="AT21" s="126" t="n"/>
      <c r="AU21" s="126" t="n"/>
      <c r="AV21" s="126" t="n"/>
      <c r="AW21" s="126" t="n"/>
      <c r="AX21" s="126" t="n"/>
      <c r="AY21" s="126" t="n"/>
      <c r="AZ21" s="126" t="n"/>
      <c r="BA21" s="126" t="n"/>
      <c r="BB21" s="126" t="n"/>
      <c r="BC21" s="126" t="n"/>
      <c r="BD21" s="126" t="n"/>
      <c r="BE21" s="126" t="n"/>
      <c r="BF21" s="126" t="n"/>
      <c r="BG21" s="126" t="n"/>
    </row>
    <row r="22" ht="21.95" customFormat="1" customHeight="1" s="106">
      <c r="A22" s="114" t="n"/>
      <c r="B22" s="582" t="inlineStr">
        <is>
          <t xml:space="preserve"> - งานติดตั้งอุปกรณ์แผ่นเพลทและเหล็กฉากยึดโครงหลังคาสำเร็จรูป</t>
        </is>
      </c>
      <c r="C22" s="580" t="n"/>
      <c r="D22" s="122" t="inlineStr">
        <is>
          <t>เมตร</t>
        </is>
      </c>
      <c r="E22" s="589" t="n"/>
      <c r="F22" s="589">
        <f>C22*E22</f>
        <v/>
      </c>
      <c r="G22" s="589" t="n"/>
      <c r="H22" s="589">
        <f>C22*G22</f>
        <v/>
      </c>
      <c r="I22" s="582">
        <f>F22+H22</f>
        <v/>
      </c>
      <c r="J22" s="100" t="n"/>
      <c r="K22" s="153" t="n"/>
      <c r="L22" s="577" t="n"/>
      <c r="M22" s="578" t="n"/>
      <c r="N22" s="104" t="n"/>
      <c r="O22" s="104" t="n"/>
      <c r="P22" s="104" t="n"/>
      <c r="Q22" s="101" t="n"/>
      <c r="R22" s="101" t="n"/>
      <c r="S22" s="126" t="n"/>
      <c r="T22" s="126" t="n"/>
      <c r="U22" s="126" t="n"/>
      <c r="V22" s="126" t="n"/>
      <c r="W22" s="126" t="n"/>
      <c r="X22" s="126" t="n"/>
      <c r="Y22" s="126" t="n"/>
      <c r="Z22" s="126" t="n"/>
      <c r="AA22" s="126" t="n"/>
      <c r="AB22" s="126" t="n"/>
      <c r="AC22" s="126" t="n"/>
      <c r="AD22" s="126" t="n"/>
      <c r="AE22" s="126" t="n"/>
      <c r="AF22" s="126" t="n"/>
      <c r="AG22" s="126" t="n"/>
      <c r="AH22" s="126" t="n"/>
      <c r="AI22" s="126" t="n"/>
      <c r="AJ22" s="126" t="n"/>
      <c r="AK22" s="126" t="n"/>
      <c r="AL22" s="126" t="n"/>
      <c r="AM22" s="126" t="n"/>
      <c r="AN22" s="126" t="n"/>
      <c r="AO22" s="126" t="n"/>
      <c r="AP22" s="126" t="n"/>
      <c r="AQ22" s="126" t="n"/>
      <c r="AR22" s="126" t="n"/>
      <c r="AS22" s="126" t="n"/>
      <c r="AT22" s="126" t="n"/>
      <c r="AU22" s="126" t="n"/>
      <c r="AV22" s="126" t="n"/>
      <c r="AW22" s="126" t="n"/>
      <c r="AX22" s="126" t="n"/>
      <c r="AY22" s="126" t="n"/>
      <c r="AZ22" s="126" t="n"/>
      <c r="BA22" s="126" t="n"/>
      <c r="BB22" s="126" t="n"/>
      <c r="BC22" s="126" t="n"/>
      <c r="BD22" s="126" t="n"/>
      <c r="BE22" s="126" t="n"/>
      <c r="BF22" s="126" t="n"/>
      <c r="BG22" s="126" t="n"/>
    </row>
    <row r="23" ht="21.95" customFormat="1" customHeight="1" s="106">
      <c r="A23" s="114" t="n"/>
      <c r="B23" s="582" t="inlineStr">
        <is>
          <t xml:space="preserve"> - งานติดตั้งแปเหล็กชุบสังกะสีสำเร็จรูป</t>
        </is>
      </c>
      <c r="C23" s="580" t="n"/>
      <c r="D23" s="581" t="inlineStr">
        <is>
          <t>ท่อน</t>
        </is>
      </c>
      <c r="E23" s="582" t="n"/>
      <c r="F23" s="582">
        <f>C23*E23</f>
        <v/>
      </c>
      <c r="G23" s="582" t="n"/>
      <c r="H23" s="582">
        <f>C23*G23</f>
        <v/>
      </c>
      <c r="I23" s="582">
        <f>F23+H23</f>
        <v/>
      </c>
      <c r="J23" s="100" t="n"/>
      <c r="K23" s="153" t="n"/>
      <c r="L23" s="577" t="n"/>
      <c r="M23" s="578" t="n"/>
      <c r="N23" s="104" t="n"/>
      <c r="O23" s="104" t="n"/>
      <c r="P23" s="104" t="n"/>
      <c r="Q23" s="101" t="n"/>
      <c r="R23" s="101" t="n"/>
      <c r="S23" s="126" t="n"/>
      <c r="T23" s="126" t="n"/>
      <c r="U23" s="126" t="n"/>
      <c r="V23" s="126" t="n"/>
      <c r="W23" s="126" t="n"/>
      <c r="X23" s="126" t="n"/>
      <c r="Y23" s="126" t="n"/>
      <c r="Z23" s="126" t="n"/>
      <c r="AA23" s="126" t="n"/>
      <c r="AB23" s="126" t="n"/>
      <c r="AC23" s="126" t="n"/>
      <c r="AD23" s="126" t="n"/>
      <c r="AE23" s="126" t="n"/>
      <c r="AF23" s="126" t="n"/>
      <c r="AG23" s="126" t="n"/>
      <c r="AH23" s="126" t="n"/>
      <c r="AI23" s="126" t="n"/>
      <c r="AJ23" s="126" t="n"/>
      <c r="AK23" s="126" t="n"/>
      <c r="AL23" s="126" t="n"/>
      <c r="AM23" s="126" t="n"/>
      <c r="AN23" s="126" t="n"/>
      <c r="AO23" s="126" t="n"/>
      <c r="AP23" s="126" t="n"/>
      <c r="AQ23" s="126" t="n"/>
      <c r="AR23" s="126" t="n"/>
      <c r="AS23" s="126" t="n"/>
      <c r="AT23" s="126" t="n"/>
      <c r="AU23" s="126" t="n"/>
      <c r="AV23" s="126" t="n"/>
      <c r="AW23" s="126" t="n"/>
      <c r="AX23" s="126" t="n"/>
      <c r="AY23" s="126" t="n"/>
      <c r="AZ23" s="126" t="n"/>
      <c r="BA23" s="126" t="n"/>
      <c r="BB23" s="126" t="n"/>
      <c r="BC23" s="126" t="n"/>
      <c r="BD23" s="126" t="n"/>
      <c r="BE23" s="126" t="n"/>
      <c r="BF23" s="126" t="n"/>
      <c r="BG23" s="126" t="n"/>
    </row>
    <row r="24" ht="21.95" customFormat="1" customHeight="1" s="106">
      <c r="A24" s="114" t="n"/>
      <c r="B24" s="582" t="inlineStr">
        <is>
          <t xml:space="preserve"> - หลังคามุงกระเบื้องลอนคู่ ขนาด 0.50x1.20 ม. หนา 5 มม. ตราช้างสีเลือกภายหลัง</t>
        </is>
      </c>
      <c r="C24" s="580" t="n"/>
      <c r="D24" s="581" t="inlineStr">
        <is>
          <t>ตร.ม.</t>
        </is>
      </c>
      <c r="E24" s="582" t="n"/>
      <c r="F24" s="582">
        <f>C24*E24</f>
        <v/>
      </c>
      <c r="G24" s="582" t="n"/>
      <c r="H24" s="582">
        <f>C24*G24</f>
        <v/>
      </c>
      <c r="I24" s="582">
        <f>F24+H24</f>
        <v/>
      </c>
      <c r="J24" s="100" t="n"/>
      <c r="K24" s="153" t="n"/>
      <c r="L24" s="577" t="n"/>
      <c r="M24" s="578" t="n"/>
      <c r="N24" s="104" t="n"/>
      <c r="O24" s="104" t="n"/>
      <c r="P24" s="104" t="n"/>
      <c r="Q24" s="101" t="n"/>
      <c r="R24" s="101" t="n"/>
      <c r="S24" s="126" t="n"/>
      <c r="T24" s="126" t="n"/>
      <c r="U24" s="126" t="n"/>
      <c r="V24" s="126" t="n"/>
      <c r="W24" s="126" t="n"/>
      <c r="X24" s="126" t="n"/>
      <c r="Y24" s="126" t="n"/>
      <c r="Z24" s="126" t="n"/>
      <c r="AA24" s="126" t="n"/>
      <c r="AB24" s="126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  <c r="AK24" s="126" t="n"/>
      <c r="AL24" s="126" t="n"/>
      <c r="AM24" s="126" t="n"/>
      <c r="AN24" s="126" t="n"/>
      <c r="AO24" s="126" t="n"/>
      <c r="AP24" s="126" t="n"/>
      <c r="AQ24" s="126" t="n"/>
      <c r="AR24" s="126" t="n"/>
      <c r="AS24" s="126" t="n"/>
      <c r="AT24" s="126" t="n"/>
      <c r="AU24" s="126" t="n"/>
      <c r="AV24" s="126" t="n"/>
      <c r="AW24" s="126" t="n"/>
      <c r="AX24" s="126" t="n"/>
      <c r="AY24" s="126" t="n"/>
      <c r="AZ24" s="126" t="n"/>
      <c r="BA24" s="126" t="n"/>
      <c r="BB24" s="126" t="n"/>
      <c r="BC24" s="126" t="n"/>
      <c r="BD24" s="126" t="n"/>
      <c r="BE24" s="126" t="n"/>
      <c r="BF24" s="126" t="n"/>
      <c r="BG24" s="126" t="n"/>
    </row>
    <row r="25" ht="21.95" customFormat="1" customHeight="1" s="106">
      <c r="A25" s="114" t="n"/>
      <c r="B25" s="582" t="inlineStr">
        <is>
          <t xml:space="preserve"> - ตะปูเกลียวยึดแป</t>
        </is>
      </c>
      <c r="C25" s="580" t="n"/>
      <c r="D25" s="581" t="inlineStr">
        <is>
          <t>กล่อง</t>
        </is>
      </c>
      <c r="E25" s="582" t="n"/>
      <c r="F25" s="582">
        <f>C25*E25</f>
        <v/>
      </c>
      <c r="G25" s="582" t="n"/>
      <c r="H25" s="582">
        <f>C25*G25</f>
        <v/>
      </c>
      <c r="I25" s="582">
        <f>F25+H25</f>
        <v/>
      </c>
      <c r="J25" s="100" t="n"/>
      <c r="K25" s="153" t="n"/>
      <c r="L25" s="577" t="n"/>
      <c r="M25" s="578" t="n"/>
      <c r="N25" s="104" t="n"/>
      <c r="O25" s="104" t="n"/>
      <c r="P25" s="104" t="n"/>
      <c r="Q25" s="101" t="n"/>
      <c r="R25" s="101" t="n"/>
      <c r="S25" s="126" t="n"/>
      <c r="T25" s="126" t="n"/>
      <c r="U25" s="126" t="n"/>
      <c r="V25" s="126" t="n"/>
      <c r="W25" s="126" t="n"/>
      <c r="X25" s="126" t="n"/>
      <c r="Y25" s="126" t="n"/>
      <c r="Z25" s="126" t="n"/>
      <c r="AA25" s="126" t="n"/>
      <c r="AB25" s="126" t="n"/>
      <c r="AC25" s="126" t="n"/>
      <c r="AD25" s="126" t="n"/>
      <c r="AE25" s="126" t="n"/>
      <c r="AF25" s="126" t="n"/>
      <c r="AG25" s="126" t="n"/>
      <c r="AH25" s="126" t="n"/>
      <c r="AI25" s="126" t="n"/>
      <c r="AJ25" s="126" t="n"/>
      <c r="AK25" s="126" t="n"/>
      <c r="AL25" s="126" t="n"/>
      <c r="AM25" s="126" t="n"/>
      <c r="AN25" s="126" t="n"/>
      <c r="AO25" s="126" t="n"/>
      <c r="AP25" s="126" t="n"/>
      <c r="AQ25" s="126" t="n"/>
      <c r="AR25" s="126" t="n"/>
      <c r="AS25" s="126" t="n"/>
      <c r="AT25" s="126" t="n"/>
      <c r="AU25" s="126" t="n"/>
      <c r="AV25" s="126" t="n"/>
      <c r="AW25" s="126" t="n"/>
      <c r="AX25" s="126" t="n"/>
      <c r="AY25" s="126" t="n"/>
      <c r="AZ25" s="126" t="n"/>
      <c r="BA25" s="126" t="n"/>
      <c r="BB25" s="126" t="n"/>
      <c r="BC25" s="126" t="n"/>
      <c r="BD25" s="126" t="n"/>
      <c r="BE25" s="126" t="n"/>
      <c r="BF25" s="126" t="n"/>
      <c r="BG25" s="126" t="n"/>
    </row>
    <row r="26" ht="21.95" customFormat="1" customHeight="1" s="106">
      <c r="A26" s="114" t="n"/>
      <c r="B26" s="582" t="inlineStr">
        <is>
          <t xml:space="preserve"> - เชิงชายสำเร็จรูป หน้า 8"</t>
        </is>
      </c>
      <c r="C26" s="580" t="n"/>
      <c r="D26" s="122" t="inlineStr">
        <is>
          <t>เมตร</t>
        </is>
      </c>
      <c r="E26" s="582" t="n"/>
      <c r="F26" s="582">
        <f>C26*E26</f>
        <v/>
      </c>
      <c r="G26" s="582" t="n"/>
      <c r="H26" s="582">
        <f>C26*G26</f>
        <v/>
      </c>
      <c r="I26" s="582">
        <f>F26+H26</f>
        <v/>
      </c>
      <c r="J26" s="100" t="n"/>
      <c r="K26" s="153" t="n"/>
      <c r="L26" s="577" t="n"/>
      <c r="M26" s="578" t="n"/>
      <c r="N26" s="104" t="n"/>
      <c r="O26" s="104" t="n"/>
      <c r="P26" s="104" t="n"/>
      <c r="Q26" s="101" t="n"/>
      <c r="R26" s="101" t="n"/>
      <c r="S26" s="126" t="n"/>
      <c r="T26" s="126" t="n"/>
      <c r="U26" s="126" t="n"/>
      <c r="V26" s="126" t="n"/>
      <c r="W26" s="126" t="n"/>
      <c r="X26" s="126" t="n"/>
      <c r="Y26" s="126" t="n"/>
      <c r="Z26" s="126" t="n"/>
      <c r="AA26" s="126" t="n"/>
      <c r="AB26" s="126" t="n"/>
      <c r="AC26" s="126" t="n"/>
      <c r="AD26" s="126" t="n"/>
      <c r="AE26" s="126" t="n"/>
      <c r="AF26" s="126" t="n"/>
      <c r="AG26" s="126" t="n"/>
      <c r="AH26" s="126" t="n"/>
      <c r="AI26" s="126" t="n"/>
      <c r="AJ26" s="126" t="n"/>
      <c r="AK26" s="126" t="n"/>
      <c r="AL26" s="126" t="n"/>
      <c r="AM26" s="126" t="n"/>
      <c r="AN26" s="126" t="n"/>
      <c r="AO26" s="126" t="n"/>
      <c r="AP26" s="126" t="n"/>
      <c r="AQ26" s="126" t="n"/>
      <c r="AR26" s="126" t="n"/>
      <c r="AS26" s="126" t="n"/>
      <c r="AT26" s="126" t="n"/>
      <c r="AU26" s="126" t="n"/>
      <c r="AV26" s="126" t="n"/>
      <c r="AW26" s="126" t="n"/>
      <c r="AX26" s="126" t="n"/>
      <c r="AY26" s="126" t="n"/>
      <c r="AZ26" s="126" t="n"/>
      <c r="BA26" s="126" t="n"/>
      <c r="BB26" s="126" t="n"/>
      <c r="BC26" s="126" t="n"/>
      <c r="BD26" s="126" t="n"/>
      <c r="BE26" s="126" t="n"/>
      <c r="BF26" s="126" t="n"/>
      <c r="BG26" s="126" t="n"/>
    </row>
    <row r="27" ht="21.95" customFormat="1" customHeight="1" s="106">
      <c r="A27" s="114" t="n"/>
      <c r="B27" s="582" t="inlineStr">
        <is>
          <t xml:space="preserve"> - เชิงชายสำเร็จรูป ปิดลอนคู่</t>
        </is>
      </c>
      <c r="C27" s="580" t="n"/>
      <c r="D27" s="122" t="inlineStr">
        <is>
          <t>เมตร</t>
        </is>
      </c>
      <c r="E27" s="582" t="n"/>
      <c r="F27" s="582">
        <f>C27*E27</f>
        <v/>
      </c>
      <c r="G27" s="582" t="n"/>
      <c r="H27" s="582">
        <f>C27*G27</f>
        <v/>
      </c>
      <c r="I27" s="582">
        <f>F27+H27</f>
        <v/>
      </c>
      <c r="J27" s="100" t="n"/>
      <c r="K27" s="153" t="n"/>
      <c r="L27" s="577" t="n"/>
      <c r="M27" s="578" t="n"/>
      <c r="N27" s="104" t="n"/>
      <c r="O27" s="104" t="n"/>
      <c r="P27" s="104" t="n"/>
      <c r="Q27" s="101" t="n"/>
      <c r="R27" s="101" t="n"/>
      <c r="S27" s="126" t="n"/>
      <c r="T27" s="126" t="n"/>
      <c r="U27" s="126" t="n"/>
      <c r="V27" s="126" t="n"/>
      <c r="W27" s="126" t="n"/>
      <c r="X27" s="126" t="n"/>
      <c r="Y27" s="126" t="n"/>
      <c r="Z27" s="126" t="n"/>
      <c r="AA27" s="126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  <c r="AK27" s="126" t="n"/>
      <c r="AL27" s="126" t="n"/>
      <c r="AM27" s="126" t="n"/>
      <c r="AN27" s="126" t="n"/>
      <c r="AO27" s="126" t="n"/>
      <c r="AP27" s="126" t="n"/>
      <c r="AQ27" s="126" t="n"/>
      <c r="AR27" s="126" t="n"/>
      <c r="AS27" s="126" t="n"/>
      <c r="AT27" s="126" t="n"/>
      <c r="AU27" s="126" t="n"/>
      <c r="AV27" s="126" t="n"/>
      <c r="AW27" s="126" t="n"/>
      <c r="AX27" s="126" t="n"/>
      <c r="AY27" s="126" t="n"/>
      <c r="AZ27" s="126" t="n"/>
      <c r="BA27" s="126" t="n"/>
      <c r="BB27" s="126" t="n"/>
      <c r="BC27" s="126" t="n"/>
      <c r="BD27" s="126" t="n"/>
      <c r="BE27" s="126" t="n"/>
      <c r="BF27" s="126" t="n"/>
      <c r="BG27" s="126" t="n"/>
    </row>
    <row r="28" ht="21.95" customFormat="1" customHeight="1" s="106">
      <c r="A28" s="114" t="n"/>
      <c r="B28" s="582" t="inlineStr">
        <is>
          <t xml:space="preserve"> - ฟอร์ยกันความร้อน</t>
        </is>
      </c>
      <c r="C28" s="580" t="n"/>
      <c r="D28" s="581" t="inlineStr">
        <is>
          <t>ตร.ม.</t>
        </is>
      </c>
      <c r="E28" s="582" t="n"/>
      <c r="F28" s="582">
        <f>C28*E28</f>
        <v/>
      </c>
      <c r="G28" s="582" t="n"/>
      <c r="H28" s="582">
        <f>C28*G28</f>
        <v/>
      </c>
      <c r="I28" s="582">
        <f>F28+H28</f>
        <v/>
      </c>
      <c r="J28" s="100" t="n"/>
      <c r="K28" s="153" t="n"/>
      <c r="L28" s="577" t="n"/>
      <c r="M28" s="578" t="n"/>
      <c r="N28" s="104" t="n"/>
      <c r="O28" s="104" t="n"/>
      <c r="P28" s="104" t="n"/>
      <c r="Q28" s="101" t="n"/>
      <c r="R28" s="101" t="n"/>
      <c r="S28" s="126" t="n"/>
      <c r="T28" s="126" t="n"/>
      <c r="U28" s="126" t="n"/>
      <c r="V28" s="126" t="n"/>
      <c r="W28" s="126" t="n"/>
      <c r="X28" s="126" t="n"/>
      <c r="Y28" s="126" t="n"/>
      <c r="Z28" s="126" t="n"/>
      <c r="AA28" s="126" t="n"/>
      <c r="AB28" s="126" t="n"/>
      <c r="AC28" s="126" t="n"/>
      <c r="AD28" s="126" t="n"/>
      <c r="AE28" s="126" t="n"/>
      <c r="AF28" s="126" t="n"/>
      <c r="AG28" s="126" t="n"/>
      <c r="AH28" s="126" t="n"/>
      <c r="AI28" s="126" t="n"/>
      <c r="AJ28" s="126" t="n"/>
      <c r="AK28" s="126" t="n"/>
      <c r="AL28" s="126" t="n"/>
      <c r="AM28" s="126" t="n"/>
      <c r="AN28" s="126" t="n"/>
      <c r="AO28" s="126" t="n"/>
      <c r="AP28" s="126" t="n"/>
      <c r="AQ28" s="126" t="n"/>
      <c r="AR28" s="126" t="n"/>
      <c r="AS28" s="126" t="n"/>
      <c r="AT28" s="126" t="n"/>
      <c r="AU28" s="126" t="n"/>
      <c r="AV28" s="126" t="n"/>
      <c r="AW28" s="126" t="n"/>
      <c r="AX28" s="126" t="n"/>
      <c r="AY28" s="126" t="n"/>
      <c r="AZ28" s="126" t="n"/>
      <c r="BA28" s="126" t="n"/>
      <c r="BB28" s="126" t="n"/>
      <c r="BC28" s="126" t="n"/>
      <c r="BD28" s="126" t="n"/>
      <c r="BE28" s="126" t="n"/>
      <c r="BF28" s="126" t="n"/>
      <c r="BG28" s="126" t="n"/>
    </row>
    <row r="29" ht="21.95" customFormat="1" customHeight="1" s="126">
      <c r="A29" s="123" t="n"/>
      <c r="B29" s="582" t="inlineStr">
        <is>
          <t xml:space="preserve"> - ค่าแรงติดตั้งอุปกรณ์ยึดโครงหลังคาและติดตั้งแปสำเร็จรูป</t>
        </is>
      </c>
      <c r="C29" s="580" t="n"/>
      <c r="D29" s="581" t="inlineStr">
        <is>
          <t>ตร.ม.</t>
        </is>
      </c>
      <c r="E29" s="582" t="n"/>
      <c r="F29" s="582">
        <f>C29*E29</f>
        <v/>
      </c>
      <c r="G29" s="582" t="n"/>
      <c r="H29" s="582">
        <f>C29*G29</f>
        <v/>
      </c>
      <c r="I29" s="582">
        <f>F29+H29</f>
        <v/>
      </c>
      <c r="J29" s="590" t="n"/>
      <c r="K29" s="591" t="n"/>
      <c r="L29" s="577" t="n"/>
      <c r="M29" s="578" t="n"/>
      <c r="N29" s="104" t="n"/>
      <c r="O29" s="104" t="n"/>
      <c r="P29" s="104" t="n"/>
      <c r="Q29" s="101" t="n"/>
      <c r="R29" s="101" t="n"/>
      <c r="S29" s="126" t="n"/>
      <c r="T29" s="126" t="n"/>
      <c r="U29" s="126" t="n"/>
      <c r="V29" s="126" t="n"/>
      <c r="W29" s="126" t="n"/>
      <c r="X29" s="126" t="n"/>
      <c r="Y29" s="126" t="n"/>
      <c r="Z29" s="126" t="n"/>
      <c r="AA29" s="126" t="n"/>
      <c r="AB29" s="126" t="n"/>
      <c r="AC29" s="126" t="n"/>
      <c r="AD29" s="126" t="n"/>
      <c r="AE29" s="126" t="n"/>
      <c r="AF29" s="126" t="n"/>
      <c r="AG29" s="126" t="n"/>
      <c r="AH29" s="126" t="n"/>
      <c r="AI29" s="126" t="n"/>
      <c r="AJ29" s="126" t="n"/>
      <c r="AK29" s="126" t="n"/>
      <c r="AL29" s="126" t="n"/>
      <c r="AM29" s="126" t="n"/>
      <c r="AN29" s="126" t="n"/>
      <c r="AO29" s="126" t="n"/>
      <c r="AP29" s="126" t="n"/>
      <c r="AQ29" s="126" t="n"/>
      <c r="AR29" s="126" t="n"/>
      <c r="AS29" s="126" t="n"/>
      <c r="AT29" s="126" t="n"/>
      <c r="AU29" s="126" t="n"/>
      <c r="AV29" s="126" t="n"/>
      <c r="AW29" s="126" t="n"/>
      <c r="AX29" s="126" t="n"/>
      <c r="AY29" s="126" t="n"/>
      <c r="AZ29" s="126" t="n"/>
      <c r="BA29" s="126" t="n"/>
      <c r="BB29" s="126" t="n"/>
      <c r="BC29" s="126" t="n"/>
      <c r="BD29" s="126" t="n"/>
      <c r="BE29" s="126" t="n"/>
      <c r="BF29" s="126" t="n"/>
      <c r="BG29" s="126" t="n"/>
    </row>
    <row r="30" ht="21.95" customFormat="1" customHeight="1" s="126">
      <c r="A30" s="115" t="n"/>
      <c r="B30" s="587" t="n"/>
      <c r="C30" s="585" t="n"/>
      <c r="D30" s="586" t="n"/>
      <c r="E30" s="587" t="n"/>
      <c r="F30" s="587">
        <f>C30*E30</f>
        <v/>
      </c>
      <c r="G30" s="587" t="n"/>
      <c r="H30" s="587">
        <f>C30*G30</f>
        <v/>
      </c>
      <c r="I30" s="587">
        <f>F30+H30</f>
        <v/>
      </c>
      <c r="K30" s="153" t="n"/>
      <c r="L30" s="577" t="n"/>
      <c r="M30" s="578" t="n"/>
      <c r="N30" s="104" t="n"/>
      <c r="O30" s="104" t="n"/>
      <c r="P30" s="104" t="n"/>
      <c r="Q30" s="101" t="n"/>
      <c r="R30" s="101" t="n"/>
    </row>
    <row r="31" ht="21.95" customFormat="1" customHeight="1" s="126">
      <c r="A31" s="393" t="inlineStr">
        <is>
          <t>รวมราคาค่าแรงและค่าวัสดุ 2</t>
        </is>
      </c>
      <c r="B31" s="588" t="n"/>
      <c r="C31" s="588" t="n"/>
      <c r="D31" s="588" t="n"/>
      <c r="E31" s="566" t="n"/>
      <c r="F31" s="572">
        <f>SUM(F21:F30)</f>
        <v/>
      </c>
      <c r="G31" s="572" t="n"/>
      <c r="H31" s="572">
        <f>SUM(H21:H30)</f>
        <v/>
      </c>
      <c r="I31" s="572">
        <f>SUM(I21:I30)</f>
        <v/>
      </c>
      <c r="K31" s="153" t="n"/>
      <c r="L31" s="577" t="n"/>
      <c r="M31" s="578" t="n"/>
      <c r="N31" s="104" t="n"/>
      <c r="O31" s="104" t="n"/>
      <c r="P31" s="104" t="n"/>
      <c r="Q31" s="101" t="n"/>
      <c r="R31" s="101" t="n"/>
    </row>
    <row r="32" ht="24" customHeight="1">
      <c r="A32" s="95" t="n">
        <v>3</v>
      </c>
      <c r="B32" s="592" t="inlineStr">
        <is>
          <t>หมวดงานสถาปัตยกรรม</t>
        </is>
      </c>
      <c r="C32" s="574" t="n"/>
      <c r="D32" s="575" t="n"/>
      <c r="E32" s="576" t="n"/>
      <c r="F32" s="576" t="n"/>
      <c r="G32" s="576" t="n"/>
      <c r="H32" s="576" t="n"/>
      <c r="I32" s="576" t="n"/>
    </row>
    <row r="33" ht="21.95" customFormat="1" customHeight="1" s="106">
      <c r="A33" s="107" t="n">
        <v>3.1</v>
      </c>
      <c r="B33" s="579" t="inlineStr">
        <is>
          <t>งานพื้น</t>
        </is>
      </c>
      <c r="C33" s="580" t="n"/>
      <c r="D33" s="581" t="n"/>
      <c r="E33" s="582" t="n"/>
      <c r="F33" s="582">
        <f>C33*E33</f>
        <v/>
      </c>
      <c r="G33" s="582" t="n"/>
      <c r="H33" s="582">
        <f>C33*G33</f>
        <v/>
      </c>
      <c r="I33" s="582">
        <f>F33+H33</f>
        <v/>
      </c>
      <c r="J33" s="100" t="n"/>
      <c r="K33" s="153" t="n"/>
      <c r="L33" s="577" t="n"/>
      <c r="M33" s="578" t="n"/>
      <c r="N33" s="104" t="n"/>
      <c r="O33" s="104" t="n"/>
      <c r="P33" s="104" t="n"/>
      <c r="Q33" s="101" t="n"/>
      <c r="R33" s="101" t="n"/>
      <c r="S33" s="126" t="n"/>
      <c r="T33" s="126" t="n"/>
      <c r="U33" s="126" t="n"/>
      <c r="V33" s="126" t="n"/>
      <c r="W33" s="126" t="n"/>
      <c r="X33" s="126" t="n"/>
      <c r="Y33" s="126" t="n"/>
      <c r="Z33" s="126" t="n"/>
      <c r="AA33" s="126" t="n"/>
      <c r="AB33" s="126" t="n"/>
      <c r="AC33" s="126" t="n"/>
      <c r="AD33" s="126" t="n"/>
      <c r="AE33" s="126" t="n"/>
      <c r="AF33" s="126" t="n"/>
      <c r="AG33" s="126" t="n"/>
      <c r="AH33" s="126" t="n"/>
      <c r="AI33" s="126" t="n"/>
      <c r="AJ33" s="126" t="n"/>
      <c r="AK33" s="126" t="n"/>
      <c r="AL33" s="126" t="n"/>
      <c r="AM33" s="126" t="n"/>
      <c r="AN33" s="126" t="n"/>
      <c r="AO33" s="126" t="n"/>
      <c r="AP33" s="126" t="n"/>
      <c r="AQ33" s="126" t="n"/>
      <c r="AR33" s="126" t="n"/>
      <c r="AS33" s="126" t="n"/>
      <c r="AT33" s="126" t="n"/>
      <c r="AU33" s="126" t="n"/>
      <c r="AV33" s="126" t="n"/>
      <c r="AW33" s="126" t="n"/>
      <c r="AX33" s="126" t="n"/>
      <c r="AY33" s="126" t="n"/>
      <c r="AZ33" s="126" t="n"/>
      <c r="BA33" s="126" t="n"/>
      <c r="BB33" s="126" t="n"/>
      <c r="BC33" s="126" t="n"/>
      <c r="BD33" s="126" t="n"/>
      <c r="BE33" s="126" t="n"/>
      <c r="BF33" s="126" t="n"/>
      <c r="BG33" s="126" t="n"/>
    </row>
    <row r="34" ht="21.95" customFormat="1" customHeight="1" s="106">
      <c r="A34" s="114" t="n"/>
      <c r="B34" s="593" t="inlineStr">
        <is>
          <t xml:space="preserve"> -  F1 - พื้น คสล. ปูกระบื้องเซรามิคขนาด 0.30 x 0.30 ม. </t>
        </is>
      </c>
      <c r="C34" s="580" t="n"/>
      <c r="D34" s="581" t="inlineStr">
        <is>
          <t>ตร.ม.</t>
        </is>
      </c>
      <c r="E34" s="582" t="n"/>
      <c r="F34" s="582">
        <f>C34*E34</f>
        <v/>
      </c>
      <c r="G34" s="582" t="n"/>
      <c r="H34" s="582">
        <f>C34*G34</f>
        <v/>
      </c>
      <c r="I34" s="582">
        <f>F34+H34</f>
        <v/>
      </c>
      <c r="J34" s="100" t="n"/>
      <c r="K34" s="153" t="n"/>
      <c r="L34" s="577" t="n"/>
      <c r="M34" s="578" t="n"/>
      <c r="N34" s="104" t="n"/>
      <c r="O34" s="104" t="n"/>
      <c r="P34" s="104" t="n"/>
      <c r="Q34" s="101" t="n"/>
      <c r="R34" s="101" t="n"/>
      <c r="S34" s="126" t="n"/>
      <c r="T34" s="126" t="n"/>
      <c r="U34" s="126" t="n"/>
      <c r="V34" s="126" t="n"/>
      <c r="W34" s="126" t="n"/>
      <c r="X34" s="126" t="n"/>
      <c r="Y34" s="126" t="n"/>
      <c r="Z34" s="126" t="n"/>
      <c r="AA34" s="126" t="n"/>
      <c r="AB34" s="126" t="n"/>
      <c r="AC34" s="126" t="n"/>
      <c r="AD34" s="126" t="n"/>
      <c r="AE34" s="126" t="n"/>
      <c r="AF34" s="126" t="n"/>
      <c r="AG34" s="126" t="n"/>
      <c r="AH34" s="126" t="n"/>
      <c r="AI34" s="126" t="n"/>
      <c r="AJ34" s="126" t="n"/>
      <c r="AK34" s="126" t="n"/>
      <c r="AL34" s="126" t="n"/>
      <c r="AM34" s="126" t="n"/>
      <c r="AN34" s="126" t="n"/>
      <c r="AO34" s="126" t="n"/>
      <c r="AP34" s="126" t="n"/>
      <c r="AQ34" s="126" t="n"/>
      <c r="AR34" s="126" t="n"/>
      <c r="AS34" s="126" t="n"/>
      <c r="AT34" s="126" t="n"/>
      <c r="AU34" s="126" t="n"/>
      <c r="AV34" s="126" t="n"/>
      <c r="AW34" s="126" t="n"/>
      <c r="AX34" s="126" t="n"/>
      <c r="AY34" s="126" t="n"/>
      <c r="AZ34" s="126" t="n"/>
      <c r="BA34" s="126" t="n"/>
      <c r="BB34" s="126" t="n"/>
      <c r="BC34" s="126" t="n"/>
      <c r="BD34" s="126" t="n"/>
      <c r="BE34" s="126" t="n"/>
      <c r="BF34" s="126" t="n"/>
      <c r="BG34" s="126" t="n"/>
    </row>
    <row r="35" ht="21.95" customFormat="1" customHeight="1" s="106">
      <c r="A35" s="114" t="n"/>
      <c r="B35" s="583" t="inlineStr">
        <is>
          <t xml:space="preserve"> - F2 - พื้น คสล. ปูหินขัดพร้อมเส้นแบ่งแนว</t>
        </is>
      </c>
      <c r="C35" s="580" t="n"/>
      <c r="D35" s="581" t="inlineStr">
        <is>
          <t>ตร.ม.</t>
        </is>
      </c>
      <c r="E35" s="582" t="n"/>
      <c r="F35" s="582">
        <f>C35*E35</f>
        <v/>
      </c>
      <c r="G35" s="582" t="n"/>
      <c r="H35" s="582">
        <f>C35*G35</f>
        <v/>
      </c>
      <c r="I35" s="582">
        <f>F35+H35</f>
        <v/>
      </c>
      <c r="J35" s="100" t="n"/>
      <c r="K35" s="153" t="n"/>
      <c r="L35" s="577" t="n"/>
      <c r="M35" s="578" t="n"/>
      <c r="N35" s="104" t="n"/>
      <c r="O35" s="104" t="n"/>
      <c r="P35" s="104" t="n"/>
      <c r="Q35" s="101" t="n"/>
      <c r="R35" s="101" t="n"/>
      <c r="S35" s="126" t="n"/>
      <c r="T35" s="126" t="n"/>
      <c r="U35" s="126" t="n"/>
      <c r="V35" s="126" t="n"/>
      <c r="W35" s="126" t="n"/>
      <c r="X35" s="126" t="n"/>
      <c r="Y35" s="126" t="n"/>
      <c r="Z35" s="126" t="n"/>
      <c r="AA35" s="126" t="n"/>
      <c r="AB35" s="126" t="n"/>
      <c r="AC35" s="126" t="n"/>
      <c r="AD35" s="126" t="n"/>
      <c r="AE35" s="126" t="n"/>
      <c r="AF35" s="126" t="n"/>
      <c r="AG35" s="126" t="n"/>
      <c r="AH35" s="126" t="n"/>
      <c r="AI35" s="126" t="n"/>
      <c r="AJ35" s="126" t="n"/>
      <c r="AK35" s="126" t="n"/>
      <c r="AL35" s="126" t="n"/>
      <c r="AM35" s="126" t="n"/>
      <c r="AN35" s="126" t="n"/>
      <c r="AO35" s="126" t="n"/>
      <c r="AP35" s="126" t="n"/>
      <c r="AQ35" s="126" t="n"/>
      <c r="AR35" s="126" t="n"/>
      <c r="AS35" s="126" t="n"/>
      <c r="AT35" s="126" t="n"/>
      <c r="AU35" s="126" t="n"/>
      <c r="AV35" s="126" t="n"/>
      <c r="AW35" s="126" t="n"/>
      <c r="AX35" s="126" t="n"/>
      <c r="AY35" s="126" t="n"/>
      <c r="AZ35" s="126" t="n"/>
      <c r="BA35" s="126" t="n"/>
      <c r="BB35" s="126" t="n"/>
      <c r="BC35" s="126" t="n"/>
      <c r="BD35" s="126" t="n"/>
      <c r="BE35" s="126" t="n"/>
      <c r="BF35" s="126" t="n"/>
      <c r="BG35" s="126" t="n"/>
    </row>
    <row r="36" ht="21.95" customFormat="1" customHeight="1" s="106">
      <c r="A36" s="114" t="n"/>
      <c r="B36" s="583" t="inlineStr">
        <is>
          <t xml:space="preserve"> - F3 - พื้น คสล. ผิวขัดมันเรียบ</t>
        </is>
      </c>
      <c r="C36" s="580" t="n"/>
      <c r="D36" s="581" t="inlineStr">
        <is>
          <t>ตร.ม.</t>
        </is>
      </c>
      <c r="E36" s="582" t="n"/>
      <c r="F36" s="582">
        <f>C36*E36</f>
        <v/>
      </c>
      <c r="G36" s="582" t="n"/>
      <c r="H36" s="582">
        <f>C36*G36</f>
        <v/>
      </c>
      <c r="I36" s="582">
        <f>F36+H36</f>
        <v/>
      </c>
      <c r="J36" s="100" t="n"/>
      <c r="K36" s="153" t="n"/>
      <c r="L36" s="577" t="n"/>
      <c r="M36" s="578" t="n"/>
      <c r="N36" s="104" t="n"/>
      <c r="O36" s="104" t="n"/>
      <c r="P36" s="104" t="n"/>
      <c r="Q36" s="101" t="n"/>
      <c r="R36" s="101" t="n"/>
      <c r="S36" s="126" t="n"/>
      <c r="T36" s="126" t="n"/>
      <c r="U36" s="126" t="n"/>
      <c r="V36" s="126" t="n"/>
      <c r="W36" s="126" t="n"/>
      <c r="X36" s="126" t="n"/>
      <c r="Y36" s="126" t="n"/>
      <c r="Z36" s="126" t="n"/>
      <c r="AA36" s="126" t="n"/>
      <c r="AB36" s="126" t="n"/>
      <c r="AC36" s="126" t="n"/>
      <c r="AD36" s="126" t="n"/>
      <c r="AE36" s="126" t="n"/>
      <c r="AF36" s="126" t="n"/>
      <c r="AG36" s="126" t="n"/>
      <c r="AH36" s="126" t="n"/>
      <c r="AI36" s="126" t="n"/>
      <c r="AJ36" s="126" t="n"/>
      <c r="AK36" s="126" t="n"/>
      <c r="AL36" s="126" t="n"/>
      <c r="AM36" s="126" t="n"/>
      <c r="AN36" s="126" t="n"/>
      <c r="AO36" s="126" t="n"/>
      <c r="AP36" s="126" t="n"/>
      <c r="AQ36" s="126" t="n"/>
      <c r="AR36" s="126" t="n"/>
      <c r="AS36" s="126" t="n"/>
      <c r="AT36" s="126" t="n"/>
      <c r="AU36" s="126" t="n"/>
      <c r="AV36" s="126" t="n"/>
      <c r="AW36" s="126" t="n"/>
      <c r="AX36" s="126" t="n"/>
      <c r="AY36" s="126" t="n"/>
      <c r="AZ36" s="126" t="n"/>
      <c r="BA36" s="126" t="n"/>
      <c r="BB36" s="126" t="n"/>
      <c r="BC36" s="126" t="n"/>
      <c r="BD36" s="126" t="n"/>
      <c r="BE36" s="126" t="n"/>
      <c r="BF36" s="126" t="n"/>
      <c r="BG36" s="126" t="n"/>
    </row>
    <row r="37" ht="21.95" customFormat="1" customHeight="1" s="106">
      <c r="A37" s="114" t="n"/>
      <c r="B37" s="583" t="inlineStr">
        <is>
          <t xml:space="preserve"> - F4 - พื้น คสล. ปูบล็อกถนนหนา 6 ซม.สีซิเมนต์</t>
        </is>
      </c>
      <c r="C37" s="580" t="n"/>
      <c r="D37" s="581" t="inlineStr">
        <is>
          <t>ตร.ม.</t>
        </is>
      </c>
      <c r="E37" s="582" t="n"/>
      <c r="F37" s="582">
        <f>C37*E37</f>
        <v/>
      </c>
      <c r="G37" s="589" t="n"/>
      <c r="H37" s="589">
        <f>C37*G37</f>
        <v/>
      </c>
      <c r="I37" s="582">
        <f>F37+H37</f>
        <v/>
      </c>
      <c r="J37" s="100" t="n"/>
      <c r="K37" s="153" t="n"/>
      <c r="L37" s="577" t="n"/>
      <c r="M37" s="578" t="n"/>
      <c r="N37" s="594" t="n"/>
      <c r="O37" s="104" t="n"/>
      <c r="P37" s="104" t="n"/>
      <c r="Q37" s="101" t="n"/>
      <c r="R37" s="101" t="n"/>
      <c r="S37" s="126" t="n"/>
      <c r="T37" s="126" t="n"/>
      <c r="U37" s="126" t="n"/>
      <c r="V37" s="126" t="n"/>
      <c r="W37" s="126" t="n"/>
      <c r="X37" s="126" t="n"/>
      <c r="Y37" s="126" t="n"/>
      <c r="Z37" s="126" t="n"/>
      <c r="AA37" s="126" t="n"/>
      <c r="AB37" s="126" t="n"/>
      <c r="AC37" s="126" t="n"/>
      <c r="AD37" s="126" t="n"/>
      <c r="AE37" s="126" t="n"/>
      <c r="AF37" s="126" t="n"/>
      <c r="AG37" s="126" t="n"/>
      <c r="AH37" s="126" t="n"/>
      <c r="AI37" s="126" t="n"/>
      <c r="AJ37" s="126" t="n"/>
      <c r="AK37" s="126" t="n"/>
      <c r="AL37" s="126" t="n"/>
      <c r="AM37" s="126" t="n"/>
      <c r="AN37" s="126" t="n"/>
      <c r="AO37" s="126" t="n"/>
      <c r="AP37" s="126" t="n"/>
      <c r="AQ37" s="126" t="n"/>
      <c r="AR37" s="126" t="n"/>
      <c r="AS37" s="126" t="n"/>
      <c r="AT37" s="126" t="n"/>
      <c r="AU37" s="126" t="n"/>
      <c r="AV37" s="126" t="n"/>
      <c r="AW37" s="126" t="n"/>
      <c r="AX37" s="126" t="n"/>
      <c r="AY37" s="126" t="n"/>
      <c r="AZ37" s="126" t="n"/>
      <c r="BA37" s="126" t="n"/>
      <c r="BB37" s="126" t="n"/>
      <c r="BC37" s="126" t="n"/>
      <c r="BD37" s="126" t="n"/>
      <c r="BE37" s="126" t="n"/>
      <c r="BF37" s="126" t="n"/>
      <c r="BG37" s="126" t="n"/>
    </row>
    <row r="38" ht="21.95" customFormat="1" customHeight="1" s="106">
      <c r="A38" s="114" t="n"/>
      <c r="B38" s="583" t="inlineStr">
        <is>
          <t xml:space="preserve"> - F5 - พื้น คสล. ปูหินขัดที่ลูกตั้ง/ลูกนอน/ชานพักบันไดทั้ง 2 ชุด</t>
        </is>
      </c>
      <c r="C38" s="580" t="n"/>
      <c r="D38" s="581" t="inlineStr">
        <is>
          <t>ตร.ม.</t>
        </is>
      </c>
      <c r="E38" s="582" t="n"/>
      <c r="F38" s="582">
        <f>C38*E38</f>
        <v/>
      </c>
      <c r="G38" s="589" t="n"/>
      <c r="H38" s="589">
        <f>C38*G38</f>
        <v/>
      </c>
      <c r="I38" s="582">
        <f>F38+H38</f>
        <v/>
      </c>
      <c r="J38" s="100" t="n"/>
      <c r="K38" s="153" t="n"/>
      <c r="L38" s="577" t="n"/>
      <c r="M38" s="578" t="n"/>
      <c r="N38" s="594" t="n"/>
      <c r="O38" s="104" t="n"/>
      <c r="P38" s="104" t="n"/>
      <c r="Q38" s="101" t="n"/>
      <c r="R38" s="101" t="n"/>
      <c r="S38" s="126" t="n"/>
      <c r="T38" s="126" t="n"/>
      <c r="U38" s="126" t="n"/>
      <c r="V38" s="126" t="n"/>
      <c r="W38" s="126" t="n"/>
      <c r="X38" s="126" t="n"/>
      <c r="Y38" s="126" t="n"/>
      <c r="Z38" s="126" t="n"/>
      <c r="AA38" s="126" t="n"/>
      <c r="AB38" s="126" t="n"/>
      <c r="AC38" s="126" t="n"/>
      <c r="AD38" s="126" t="n"/>
      <c r="AE38" s="126" t="n"/>
      <c r="AF38" s="126" t="n"/>
      <c r="AG38" s="126" t="n"/>
      <c r="AH38" s="126" t="n"/>
      <c r="AI38" s="126" t="n"/>
      <c r="AJ38" s="126" t="n"/>
      <c r="AK38" s="126" t="n"/>
      <c r="AL38" s="126" t="n"/>
      <c r="AM38" s="126" t="n"/>
      <c r="AN38" s="126" t="n"/>
      <c r="AO38" s="126" t="n"/>
      <c r="AP38" s="126" t="n"/>
      <c r="AQ38" s="126" t="n"/>
      <c r="AR38" s="126" t="n"/>
      <c r="AS38" s="126" t="n"/>
      <c r="AT38" s="126" t="n"/>
      <c r="AU38" s="126" t="n"/>
      <c r="AV38" s="126" t="n"/>
      <c r="AW38" s="126" t="n"/>
      <c r="AX38" s="126" t="n"/>
      <c r="AY38" s="126" t="n"/>
      <c r="AZ38" s="126" t="n"/>
      <c r="BA38" s="126" t="n"/>
      <c r="BB38" s="126" t="n"/>
      <c r="BC38" s="126" t="n"/>
      <c r="BD38" s="126" t="n"/>
      <c r="BE38" s="126" t="n"/>
      <c r="BF38" s="126" t="n"/>
      <c r="BG38" s="126" t="n"/>
    </row>
    <row r="39" ht="21.95" customFormat="1" customHeight="1" s="106">
      <c r="A39" s="114" t="n"/>
      <c r="B39" s="583" t="inlineStr">
        <is>
          <t xml:space="preserve"> - F6 - พื้น คสล. ปูกระบื้องพอร์ชเลนขนาด 0.60 x 0.60 ม. </t>
        </is>
      </c>
      <c r="C39" s="580" t="n"/>
      <c r="D39" s="581" t="inlineStr">
        <is>
          <t>ตร.ม.</t>
        </is>
      </c>
      <c r="E39" s="582" t="n"/>
      <c r="F39" s="582">
        <f>C39*E39</f>
        <v/>
      </c>
      <c r="G39" s="589" t="n"/>
      <c r="H39" s="589">
        <f>C39*G39</f>
        <v/>
      </c>
      <c r="I39" s="582">
        <f>F39+H39</f>
        <v/>
      </c>
      <c r="J39" s="100" t="n"/>
      <c r="K39" s="153" t="n"/>
      <c r="L39" s="577" t="n"/>
      <c r="M39" s="578" t="n"/>
      <c r="N39" s="594" t="n"/>
      <c r="O39" s="104" t="n"/>
      <c r="P39" s="104" t="n"/>
      <c r="Q39" s="101" t="n"/>
      <c r="R39" s="101" t="n"/>
      <c r="S39" s="126" t="n"/>
      <c r="T39" s="126" t="n"/>
      <c r="U39" s="126" t="n"/>
      <c r="V39" s="126" t="n"/>
      <c r="W39" s="126" t="n"/>
      <c r="X39" s="126" t="n"/>
      <c r="Y39" s="126" t="n"/>
      <c r="Z39" s="126" t="n"/>
      <c r="AA39" s="126" t="n"/>
      <c r="AB39" s="126" t="n"/>
      <c r="AC39" s="126" t="n"/>
      <c r="AD39" s="126" t="n"/>
      <c r="AE39" s="126" t="n"/>
      <c r="AF39" s="126" t="n"/>
      <c r="AG39" s="126" t="n"/>
      <c r="AH39" s="126" t="n"/>
      <c r="AI39" s="126" t="n"/>
      <c r="AJ39" s="126" t="n"/>
      <c r="AK39" s="126" t="n"/>
      <c r="AL39" s="126" t="n"/>
      <c r="AM39" s="126" t="n"/>
      <c r="AN39" s="126" t="n"/>
      <c r="AO39" s="126" t="n"/>
      <c r="AP39" s="126" t="n"/>
      <c r="AQ39" s="126" t="n"/>
      <c r="AR39" s="126" t="n"/>
      <c r="AS39" s="126" t="n"/>
      <c r="AT39" s="126" t="n"/>
      <c r="AU39" s="126" t="n"/>
      <c r="AV39" s="126" t="n"/>
      <c r="AW39" s="126" t="n"/>
      <c r="AX39" s="126" t="n"/>
      <c r="AY39" s="126" t="n"/>
      <c r="AZ39" s="126" t="n"/>
      <c r="BA39" s="126" t="n"/>
      <c r="BB39" s="126" t="n"/>
      <c r="BC39" s="126" t="n"/>
      <c r="BD39" s="126" t="n"/>
      <c r="BE39" s="126" t="n"/>
      <c r="BF39" s="126" t="n"/>
      <c r="BG39" s="126" t="n"/>
    </row>
    <row r="40" ht="21.95" customFormat="1" customHeight="1" s="106">
      <c r="A40" s="114" t="n"/>
      <c r="B40" s="583" t="inlineStr">
        <is>
          <t xml:space="preserve"> - ขอบคัน ค.ส.ลทางเท้ายาว 1.00 ม.</t>
        </is>
      </c>
      <c r="C40" s="580" t="n"/>
      <c r="D40" s="581" t="inlineStr">
        <is>
          <t>ท่อน</t>
        </is>
      </c>
      <c r="E40" s="582" t="n"/>
      <c r="F40" s="582">
        <f>C40*E40</f>
        <v/>
      </c>
      <c r="G40" s="589" t="n"/>
      <c r="H40" s="589">
        <f>C40*G40</f>
        <v/>
      </c>
      <c r="I40" s="582">
        <f>F40+H40</f>
        <v/>
      </c>
      <c r="J40" s="100" t="n"/>
      <c r="K40" s="153" t="n"/>
      <c r="L40" s="577" t="n"/>
      <c r="M40" s="578" t="n"/>
      <c r="N40" s="594" t="n"/>
      <c r="O40" s="104" t="n"/>
      <c r="P40" s="104" t="n"/>
      <c r="Q40" s="101" t="n"/>
      <c r="R40" s="101" t="n"/>
      <c r="S40" s="126" t="n"/>
      <c r="T40" s="126" t="n"/>
      <c r="U40" s="126" t="n"/>
      <c r="V40" s="126" t="n"/>
      <c r="W40" s="126" t="n"/>
      <c r="X40" s="126" t="n"/>
      <c r="Y40" s="126" t="n"/>
      <c r="Z40" s="126" t="n"/>
      <c r="AA40" s="126" t="n"/>
      <c r="AB40" s="126" t="n"/>
      <c r="AC40" s="126" t="n"/>
      <c r="AD40" s="126" t="n"/>
      <c r="AE40" s="126" t="n"/>
      <c r="AF40" s="126" t="n"/>
      <c r="AG40" s="126" t="n"/>
      <c r="AH40" s="126" t="n"/>
      <c r="AI40" s="126" t="n"/>
      <c r="AJ40" s="126" t="n"/>
      <c r="AK40" s="126" t="n"/>
      <c r="AL40" s="126" t="n"/>
      <c r="AM40" s="126" t="n"/>
      <c r="AN40" s="126" t="n"/>
      <c r="AO40" s="126" t="n"/>
      <c r="AP40" s="126" t="n"/>
      <c r="AQ40" s="126" t="n"/>
      <c r="AR40" s="126" t="n"/>
      <c r="AS40" s="126" t="n"/>
      <c r="AT40" s="126" t="n"/>
      <c r="AU40" s="126" t="n"/>
      <c r="AV40" s="126" t="n"/>
      <c r="AW40" s="126" t="n"/>
      <c r="AX40" s="126" t="n"/>
      <c r="AY40" s="126" t="n"/>
      <c r="AZ40" s="126" t="n"/>
      <c r="BA40" s="126" t="n"/>
      <c r="BB40" s="126" t="n"/>
      <c r="BC40" s="126" t="n"/>
      <c r="BD40" s="126" t="n"/>
      <c r="BE40" s="126" t="n"/>
      <c r="BF40" s="126" t="n"/>
      <c r="BG40" s="126" t="n"/>
    </row>
    <row r="41" ht="21.95" customFormat="1" customHeight="1" s="106">
      <c r="A41" s="114" t="n"/>
      <c r="B41" s="583" t="inlineStr">
        <is>
          <t xml:space="preserve"> - งานปูนกาวจระเข้และยาแนว</t>
        </is>
      </c>
      <c r="C41" s="580" t="n"/>
      <c r="D41" s="581" t="inlineStr">
        <is>
          <t>ตร.ม.</t>
        </is>
      </c>
      <c r="E41" s="582" t="n"/>
      <c r="F41" s="582">
        <f>C41*E41</f>
        <v/>
      </c>
      <c r="G41" s="589" t="n"/>
      <c r="H41" s="589">
        <f>C41*G41</f>
        <v/>
      </c>
      <c r="I41" s="582">
        <f>F41+H41</f>
        <v/>
      </c>
      <c r="J41" s="595" t="n"/>
      <c r="K41" s="153" t="n"/>
      <c r="L41" s="577" t="n"/>
      <c r="M41" s="578" t="n"/>
      <c r="N41" s="594" t="n"/>
      <c r="O41" s="104" t="n"/>
      <c r="P41" s="104" t="n"/>
      <c r="Q41" s="101" t="n"/>
      <c r="R41" s="101" t="n"/>
      <c r="S41" s="126" t="n"/>
      <c r="T41" s="126" t="n"/>
      <c r="U41" s="126" t="n"/>
      <c r="V41" s="126" t="n"/>
      <c r="W41" s="126" t="n"/>
      <c r="X41" s="126" t="n"/>
      <c r="Y41" s="126" t="n"/>
      <c r="Z41" s="126" t="n"/>
      <c r="AA41" s="126" t="n"/>
      <c r="AB41" s="126" t="n"/>
      <c r="AC41" s="126" t="n"/>
      <c r="AD41" s="126" t="n"/>
      <c r="AE41" s="126" t="n"/>
      <c r="AF41" s="126" t="n"/>
      <c r="AG41" s="126" t="n"/>
      <c r="AH41" s="126" t="n"/>
      <c r="AI41" s="126" t="n"/>
      <c r="AJ41" s="126" t="n"/>
      <c r="AK41" s="126" t="n"/>
      <c r="AL41" s="126" t="n"/>
      <c r="AM41" s="126" t="n"/>
      <c r="AN41" s="126" t="n"/>
      <c r="AO41" s="126" t="n"/>
      <c r="AP41" s="126" t="n"/>
      <c r="AQ41" s="126" t="n"/>
      <c r="AR41" s="126" t="n"/>
      <c r="AS41" s="126" t="n"/>
      <c r="AT41" s="126" t="n"/>
      <c r="AU41" s="126" t="n"/>
      <c r="AV41" s="126" t="n"/>
      <c r="AW41" s="126" t="n"/>
      <c r="AX41" s="126" t="n"/>
      <c r="AY41" s="126" t="n"/>
      <c r="AZ41" s="126" t="n"/>
      <c r="BA41" s="126" t="n"/>
      <c r="BB41" s="126" t="n"/>
      <c r="BC41" s="126" t="n"/>
      <c r="BD41" s="126" t="n"/>
      <c r="BE41" s="126" t="n"/>
      <c r="BF41" s="126" t="n"/>
      <c r="BG41" s="126" t="n"/>
    </row>
    <row r="42" ht="21.95" customFormat="1" customHeight="1" s="106">
      <c r="A42" s="107" t="n">
        <v>3.2</v>
      </c>
      <c r="B42" s="579" t="inlineStr">
        <is>
          <t>งานผนัง</t>
        </is>
      </c>
      <c r="C42" s="580" t="n"/>
      <c r="D42" s="581" t="n"/>
      <c r="E42" s="582" t="n"/>
      <c r="F42" s="582">
        <f>C42*E42</f>
        <v/>
      </c>
      <c r="G42" s="582" t="n"/>
      <c r="H42" s="582">
        <f>C42*G42</f>
        <v/>
      </c>
      <c r="I42" s="582">
        <f>F42+H42</f>
        <v/>
      </c>
      <c r="J42" s="100" t="n"/>
      <c r="K42" s="153" t="n"/>
      <c r="L42" s="577" t="n"/>
      <c r="M42" s="578" t="n"/>
      <c r="N42" s="104" t="n"/>
      <c r="O42" s="104" t="n"/>
      <c r="P42" s="104" t="n"/>
      <c r="Q42" s="101" t="n"/>
      <c r="R42" s="101" t="n"/>
      <c r="S42" s="126" t="n"/>
      <c r="T42" s="126" t="n"/>
      <c r="U42" s="126" t="n"/>
      <c r="V42" s="126" t="n"/>
      <c r="W42" s="126" t="n"/>
      <c r="X42" s="126" t="n"/>
      <c r="Y42" s="126" t="n"/>
      <c r="Z42" s="126" t="n"/>
      <c r="AA42" s="126" t="n"/>
      <c r="AB42" s="126" t="n"/>
      <c r="AC42" s="126" t="n"/>
      <c r="AD42" s="126" t="n"/>
      <c r="AE42" s="126" t="n"/>
      <c r="AF42" s="126" t="n"/>
      <c r="AG42" s="126" t="n"/>
      <c r="AH42" s="126" t="n"/>
      <c r="AI42" s="126" t="n"/>
      <c r="AJ42" s="126" t="n"/>
      <c r="AK42" s="126" t="n"/>
      <c r="AL42" s="126" t="n"/>
      <c r="AM42" s="126" t="n"/>
      <c r="AN42" s="126" t="n"/>
      <c r="AO42" s="126" t="n"/>
      <c r="AP42" s="126" t="n"/>
      <c r="AQ42" s="126" t="n"/>
      <c r="AR42" s="126" t="n"/>
      <c r="AS42" s="126" t="n"/>
      <c r="AT42" s="126" t="n"/>
      <c r="AU42" s="126" t="n"/>
      <c r="AV42" s="126" t="n"/>
      <c r="AW42" s="126" t="n"/>
      <c r="AX42" s="126" t="n"/>
      <c r="AY42" s="126" t="n"/>
      <c r="AZ42" s="126" t="n"/>
      <c r="BA42" s="126" t="n"/>
      <c r="BB42" s="126" t="n"/>
      <c r="BC42" s="126" t="n"/>
      <c r="BD42" s="126" t="n"/>
      <c r="BE42" s="126" t="n"/>
      <c r="BF42" s="126" t="n"/>
      <c r="BG42" s="126" t="n"/>
    </row>
    <row r="43" ht="21.95" customFormat="1" customHeight="1" s="106">
      <c r="A43" s="107" t="n"/>
      <c r="B43" s="583" t="inlineStr">
        <is>
          <t xml:space="preserve"> -  ผ1 ก่ออิฐบล็อกหนา 7 ซม.กั้นห้องเรียนชั้นต่างๆ </t>
        </is>
      </c>
      <c r="C43" s="580" t="n"/>
      <c r="D43" s="581" t="inlineStr">
        <is>
          <t>ตร.ม.</t>
        </is>
      </c>
      <c r="E43" s="582" t="n"/>
      <c r="F43" s="582">
        <f>C43*E43</f>
        <v/>
      </c>
      <c r="G43" s="582" t="n"/>
      <c r="H43" s="582">
        <f>C43*G43</f>
        <v/>
      </c>
      <c r="I43" s="582">
        <f>F43+H43</f>
        <v/>
      </c>
      <c r="J43" s="100" t="n"/>
      <c r="K43" s="153" t="n"/>
      <c r="L43" s="577" t="n"/>
      <c r="M43" s="578" t="n"/>
      <c r="N43" s="104" t="n"/>
      <c r="O43" s="104" t="n"/>
      <c r="P43" s="104" t="n"/>
      <c r="Q43" s="101" t="n"/>
      <c r="R43" s="101" t="n"/>
      <c r="S43" s="126" t="n"/>
      <c r="T43" s="126" t="n"/>
      <c r="U43" s="126" t="n"/>
      <c r="V43" s="126" t="n"/>
      <c r="W43" s="126" t="n"/>
      <c r="X43" s="126" t="n"/>
      <c r="Y43" s="126" t="n"/>
      <c r="Z43" s="126" t="n"/>
      <c r="AA43" s="126" t="n"/>
      <c r="AB43" s="126" t="n"/>
      <c r="AC43" s="126" t="n"/>
      <c r="AD43" s="126" t="n"/>
      <c r="AE43" s="126" t="n"/>
      <c r="AF43" s="126" t="n"/>
      <c r="AG43" s="126" t="n"/>
      <c r="AH43" s="126" t="n"/>
      <c r="AI43" s="126" t="n"/>
      <c r="AJ43" s="126" t="n"/>
      <c r="AK43" s="126" t="n"/>
      <c r="AL43" s="126" t="n"/>
      <c r="AM43" s="126" t="n"/>
      <c r="AN43" s="126" t="n"/>
      <c r="AO43" s="126" t="n"/>
      <c r="AP43" s="126" t="n"/>
      <c r="AQ43" s="126" t="n"/>
      <c r="AR43" s="126" t="n"/>
      <c r="AS43" s="126" t="n"/>
      <c r="AT43" s="126" t="n"/>
      <c r="AU43" s="126" t="n"/>
      <c r="AV43" s="126" t="n"/>
      <c r="AW43" s="126" t="n"/>
      <c r="AX43" s="126" t="n"/>
      <c r="AY43" s="126" t="n"/>
      <c r="AZ43" s="126" t="n"/>
      <c r="BA43" s="126" t="n"/>
      <c r="BB43" s="126" t="n"/>
      <c r="BC43" s="126" t="n"/>
      <c r="BD43" s="126" t="n"/>
      <c r="BE43" s="126" t="n"/>
      <c r="BF43" s="126" t="n"/>
      <c r="BG43" s="126" t="n"/>
    </row>
    <row r="44" ht="21.95" customFormat="1" customHeight="1" s="123">
      <c r="A44" s="112" t="n"/>
      <c r="B44" s="583" t="inlineStr">
        <is>
          <t xml:space="preserve"> -  ผ2 ผนังฉาบปูนเรียบทั้งภายนอกและภายใน</t>
        </is>
      </c>
      <c r="C44" s="580" t="n"/>
      <c r="D44" s="581" t="inlineStr">
        <is>
          <t>ตร.ม.</t>
        </is>
      </c>
      <c r="E44" s="582" t="n"/>
      <c r="F44" s="582">
        <f>C44*E44</f>
        <v/>
      </c>
      <c r="G44" s="582" t="n"/>
      <c r="H44" s="582">
        <f>C44*G44</f>
        <v/>
      </c>
      <c r="I44" s="582">
        <f>F44+H44</f>
        <v/>
      </c>
      <c r="J44" s="100" t="n"/>
      <c r="K44" s="153" t="n"/>
      <c r="L44" s="577" t="n"/>
      <c r="M44" s="578" t="n"/>
      <c r="N44" s="104" t="n"/>
      <c r="O44" s="104" t="n"/>
      <c r="P44" s="104" t="n"/>
      <c r="Q44" s="101" t="n"/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  <c r="AA44" s="101" t="n"/>
      <c r="AB44" s="101" t="n"/>
      <c r="AC44" s="101" t="n"/>
      <c r="AD44" s="101" t="n"/>
      <c r="AE44" s="101" t="n"/>
      <c r="AF44" s="101" t="n"/>
      <c r="AG44" s="101" t="n"/>
      <c r="AH44" s="101" t="n"/>
      <c r="AI44" s="101" t="n"/>
      <c r="AJ44" s="101" t="n"/>
      <c r="AK44" s="101" t="n"/>
      <c r="AL44" s="101" t="n"/>
      <c r="AM44" s="101" t="n"/>
      <c r="AN44" s="101" t="n"/>
      <c r="AO44" s="101" t="n"/>
      <c r="AP44" s="101" t="n"/>
      <c r="AQ44" s="101" t="n"/>
      <c r="AR44" s="101" t="n"/>
      <c r="AS44" s="101" t="n"/>
      <c r="AT44" s="101" t="n"/>
      <c r="AU44" s="101" t="n"/>
      <c r="AV44" s="101" t="n"/>
      <c r="AW44" s="101" t="n"/>
      <c r="AX44" s="101" t="n"/>
      <c r="AY44" s="101" t="n"/>
      <c r="AZ44" s="101" t="n"/>
      <c r="BA44" s="101" t="n"/>
      <c r="BB44" s="101" t="n"/>
      <c r="BC44" s="101" t="n"/>
      <c r="BD44" s="101" t="n"/>
      <c r="BE44" s="101" t="n"/>
      <c r="BF44" s="101" t="n"/>
      <c r="BG44" s="101" t="n"/>
    </row>
    <row r="45" ht="21.95" customFormat="1" customHeight="1" s="123">
      <c r="A45" s="112" t="n"/>
      <c r="B45" s="583" t="inlineStr">
        <is>
          <t xml:space="preserve"> -  ผ2.1 ฉาบปูนเรียบในส่วนโครงสร้างเสาและคาน</t>
        </is>
      </c>
      <c r="C45" s="580" t="n"/>
      <c r="D45" s="581" t="inlineStr">
        <is>
          <t>ตร.ม.</t>
        </is>
      </c>
      <c r="E45" s="582" t="n"/>
      <c r="F45" s="582">
        <f>C45*E45</f>
        <v/>
      </c>
      <c r="G45" s="582" t="n"/>
      <c r="H45" s="582">
        <f>C45*G45</f>
        <v/>
      </c>
      <c r="I45" s="582">
        <f>F45+H45</f>
        <v/>
      </c>
      <c r="J45" s="100" t="n"/>
      <c r="K45" s="153" t="n"/>
      <c r="L45" s="577" t="n"/>
      <c r="M45" s="578" t="n"/>
      <c r="N45" s="104" t="n"/>
      <c r="O45" s="104" t="n"/>
      <c r="P45" s="104" t="n"/>
      <c r="Q45" s="101" t="n"/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  <c r="AA45" s="101" t="n"/>
      <c r="AB45" s="101" t="n"/>
      <c r="AC45" s="101" t="n"/>
      <c r="AD45" s="101" t="n"/>
      <c r="AE45" s="101" t="n"/>
      <c r="AF45" s="101" t="n"/>
      <c r="AG45" s="101" t="n"/>
      <c r="AH45" s="101" t="n"/>
      <c r="AI45" s="101" t="n"/>
      <c r="AJ45" s="101" t="n"/>
      <c r="AK45" s="101" t="n"/>
      <c r="AL45" s="101" t="n"/>
      <c r="AM45" s="101" t="n"/>
      <c r="AN45" s="101" t="n"/>
      <c r="AO45" s="101" t="n"/>
      <c r="AP45" s="101" t="n"/>
      <c r="AQ45" s="101" t="n"/>
      <c r="AR45" s="101" t="n"/>
      <c r="AS45" s="101" t="n"/>
      <c r="AT45" s="101" t="n"/>
      <c r="AU45" s="101" t="n"/>
      <c r="AV45" s="101" t="n"/>
      <c r="AW45" s="101" t="n"/>
      <c r="AX45" s="101" t="n"/>
      <c r="AY45" s="101" t="n"/>
      <c r="AZ45" s="101" t="n"/>
      <c r="BA45" s="101" t="n"/>
      <c r="BB45" s="101" t="n"/>
      <c r="BC45" s="101" t="n"/>
      <c r="BD45" s="101" t="n"/>
      <c r="BE45" s="101" t="n"/>
      <c r="BF45" s="101" t="n"/>
      <c r="BG45" s="101" t="n"/>
    </row>
    <row r="46" ht="21.95" customFormat="1" customHeight="1" s="123">
      <c r="A46" s="112" t="n"/>
      <c r="B46" s="583" t="inlineStr">
        <is>
          <t xml:space="preserve"> -  ผ3 ผนังกรุกระเบื้องเซรามิคขนาด 8 "x 12" ห้องน้ำชั้นที่ 2 </t>
        </is>
      </c>
      <c r="C46" s="580" t="n"/>
      <c r="D46" s="581" t="inlineStr">
        <is>
          <t>ตร.ม.</t>
        </is>
      </c>
      <c r="E46" s="582" t="n"/>
      <c r="F46" s="582">
        <f>C46*E46</f>
        <v/>
      </c>
      <c r="G46" s="582" t="n"/>
      <c r="H46" s="582">
        <f>C46*G46</f>
        <v/>
      </c>
      <c r="I46" s="582">
        <f>F46+H46</f>
        <v/>
      </c>
      <c r="J46" s="100" t="n"/>
      <c r="K46" s="153" t="n"/>
      <c r="L46" s="577" t="n"/>
      <c r="M46" s="578" t="n"/>
      <c r="N46" s="104" t="n"/>
      <c r="O46" s="104" t="n"/>
      <c r="P46" s="104" t="n"/>
      <c r="Q46" s="101" t="n"/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  <c r="AA46" s="101" t="n"/>
      <c r="AB46" s="101" t="n"/>
      <c r="AC46" s="101" t="n"/>
      <c r="AD46" s="101" t="n"/>
      <c r="AE46" s="101" t="n"/>
      <c r="AF46" s="101" t="n"/>
      <c r="AG46" s="101" t="n"/>
      <c r="AH46" s="101" t="n"/>
      <c r="AI46" s="101" t="n"/>
      <c r="AJ46" s="101" t="n"/>
      <c r="AK46" s="101" t="n"/>
      <c r="AL46" s="101" t="n"/>
      <c r="AM46" s="101" t="n"/>
      <c r="AN46" s="101" t="n"/>
      <c r="AO46" s="101" t="n"/>
      <c r="AP46" s="101" t="n"/>
      <c r="AQ46" s="101" t="n"/>
      <c r="AR46" s="101" t="n"/>
      <c r="AS46" s="101" t="n"/>
      <c r="AT46" s="101" t="n"/>
      <c r="AU46" s="101" t="n"/>
      <c r="AV46" s="101" t="n"/>
      <c r="AW46" s="101" t="n"/>
      <c r="AX46" s="101" t="n"/>
      <c r="AY46" s="101" t="n"/>
      <c r="AZ46" s="101" t="n"/>
      <c r="BA46" s="101" t="n"/>
      <c r="BB46" s="101" t="n"/>
      <c r="BC46" s="101" t="n"/>
      <c r="BD46" s="101" t="n"/>
      <c r="BE46" s="101" t="n"/>
      <c r="BF46" s="101" t="n"/>
      <c r="BG46" s="101" t="n"/>
    </row>
    <row r="47" ht="21.95" customFormat="1" customHeight="1" s="123">
      <c r="A47" s="114" t="n"/>
      <c r="B47" s="583" t="inlineStr">
        <is>
          <t xml:space="preserve"> -  ผ4 ผนังสำเร็จรูปกั้นห้องน้ำชั้นที่ 2 รวมอุปกรณ์และบานประตู </t>
        </is>
      </c>
      <c r="C47" s="580" t="n"/>
      <c r="D47" s="581" t="inlineStr">
        <is>
          <t>ชุด</t>
        </is>
      </c>
      <c r="E47" s="582" t="n"/>
      <c r="F47" s="582">
        <f>C47*E47</f>
        <v/>
      </c>
      <c r="G47" s="582" t="n"/>
      <c r="H47" s="582">
        <f>C47*G47</f>
        <v/>
      </c>
      <c r="I47" s="582">
        <f>F47+H47</f>
        <v/>
      </c>
      <c r="J47" s="131" t="n"/>
      <c r="K47" s="153" t="n"/>
      <c r="L47" s="577" t="n"/>
      <c r="M47" s="578" t="n"/>
      <c r="N47" s="104" t="n"/>
      <c r="O47" s="104" t="n"/>
      <c r="P47" s="104" t="n"/>
      <c r="Q47" s="101" t="n"/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  <c r="AA47" s="101" t="n"/>
      <c r="AB47" s="101" t="n"/>
      <c r="AC47" s="101" t="n"/>
      <c r="AD47" s="101" t="n"/>
      <c r="AE47" s="101" t="n"/>
      <c r="AF47" s="101" t="n"/>
      <c r="AG47" s="101" t="n"/>
      <c r="AH47" s="101" t="n"/>
      <c r="AI47" s="101" t="n"/>
      <c r="AJ47" s="101" t="n"/>
      <c r="AK47" s="101" t="n"/>
      <c r="AL47" s="101" t="n"/>
      <c r="AM47" s="101" t="n"/>
      <c r="AN47" s="101" t="n"/>
      <c r="AO47" s="101" t="n"/>
      <c r="AP47" s="101" t="n"/>
      <c r="AQ47" s="101" t="n"/>
      <c r="AR47" s="101" t="n"/>
      <c r="AS47" s="101" t="n"/>
      <c r="AT47" s="101" t="n"/>
      <c r="AU47" s="101" t="n"/>
      <c r="AV47" s="101" t="n"/>
      <c r="AW47" s="101" t="n"/>
      <c r="AX47" s="101" t="n"/>
      <c r="AY47" s="101" t="n"/>
      <c r="AZ47" s="101" t="n"/>
      <c r="BA47" s="101" t="n"/>
      <c r="BB47" s="101" t="n"/>
      <c r="BC47" s="101" t="n"/>
      <c r="BD47" s="101" t="n"/>
      <c r="BE47" s="101" t="n"/>
      <c r="BF47" s="101" t="n"/>
      <c r="BG47" s="101" t="n"/>
    </row>
    <row r="48" ht="21.95" customFormat="1" customHeight="1" s="123">
      <c r="A48" s="114" t="n"/>
      <c r="B48" s="583" t="inlineStr">
        <is>
          <t xml:space="preserve"> -  ผ4 ติดตั้งวงกบและบานประตูสำเร็จรูปพร้อมอุปกรณ์ห้องน้ำชั้นที่ 2</t>
        </is>
      </c>
      <c r="C48" s="580" t="n"/>
      <c r="D48" s="581" t="inlineStr">
        <is>
          <t>ชุด</t>
        </is>
      </c>
      <c r="E48" s="582" t="n"/>
      <c r="F48" s="582">
        <f>C48*E48</f>
        <v/>
      </c>
      <c r="G48" s="582" t="n"/>
      <c r="H48" s="582">
        <f>C48*G48</f>
        <v/>
      </c>
      <c r="I48" s="582">
        <f>F48+H48</f>
        <v/>
      </c>
      <c r="J48" s="131" t="n"/>
      <c r="K48" s="153" t="n"/>
      <c r="L48" s="577" t="n"/>
      <c r="M48" s="578" t="n"/>
      <c r="N48" s="104" t="n"/>
      <c r="O48" s="104" t="n"/>
      <c r="P48" s="104" t="n"/>
      <c r="Q48" s="101" t="n"/>
      <c r="R48" s="101" t="n"/>
      <c r="S48" s="101" t="n"/>
      <c r="T48" s="101" t="n"/>
      <c r="U48" s="101" t="n"/>
      <c r="V48" s="101" t="n"/>
      <c r="W48" s="101" t="n"/>
      <c r="X48" s="101" t="n"/>
      <c r="Y48" s="101" t="n"/>
      <c r="Z48" s="101" t="n"/>
      <c r="AA48" s="101" t="n"/>
      <c r="AB48" s="101" t="n"/>
      <c r="AC48" s="101" t="n"/>
      <c r="AD48" s="101" t="n"/>
      <c r="AE48" s="101" t="n"/>
      <c r="AF48" s="101" t="n"/>
      <c r="AG48" s="101" t="n"/>
      <c r="AH48" s="101" t="n"/>
      <c r="AI48" s="101" t="n"/>
      <c r="AJ48" s="101" t="n"/>
      <c r="AK48" s="101" t="n"/>
      <c r="AL48" s="101" t="n"/>
      <c r="AM48" s="101" t="n"/>
      <c r="AN48" s="101" t="n"/>
      <c r="AO48" s="101" t="n"/>
      <c r="AP48" s="101" t="n"/>
      <c r="AQ48" s="101" t="n"/>
      <c r="AR48" s="101" t="n"/>
      <c r="AS48" s="101" t="n"/>
      <c r="AT48" s="101" t="n"/>
      <c r="AU48" s="101" t="n"/>
      <c r="AV48" s="101" t="n"/>
      <c r="AW48" s="101" t="n"/>
      <c r="AX48" s="101" t="n"/>
      <c r="AY48" s="101" t="n"/>
      <c r="AZ48" s="101" t="n"/>
      <c r="BA48" s="101" t="n"/>
      <c r="BB48" s="101" t="n"/>
      <c r="BC48" s="101" t="n"/>
      <c r="BD48" s="101" t="n"/>
      <c r="BE48" s="101" t="n"/>
      <c r="BF48" s="101" t="n"/>
      <c r="BG48" s="101" t="n"/>
    </row>
    <row r="49" ht="21.95" customFormat="1" customHeight="1" s="123">
      <c r="A49" s="114" t="n"/>
      <c r="B49" s="583" t="inlineStr">
        <is>
          <t xml:space="preserve"> -  ผ5 ติดตั้งแผงกั้นที่ปัสสาวะชายสำเร็จรูปพร้อมอุปกรณ์ห้องน้ำชั้นที่ 2</t>
        </is>
      </c>
      <c r="C49" s="580" t="n"/>
      <c r="D49" s="581" t="inlineStr">
        <is>
          <t>ชุด</t>
        </is>
      </c>
      <c r="E49" s="582" t="n"/>
      <c r="F49" s="582">
        <f>C49*E49</f>
        <v/>
      </c>
      <c r="G49" s="582" t="n"/>
      <c r="H49" s="582">
        <f>C49*G49</f>
        <v/>
      </c>
      <c r="I49" s="582">
        <f>F49+H49</f>
        <v/>
      </c>
      <c r="J49" s="131" t="n"/>
      <c r="K49" s="153" t="n"/>
      <c r="L49" s="577" t="n"/>
      <c r="M49" s="578" t="n"/>
      <c r="N49" s="104" t="n"/>
      <c r="O49" s="104" t="n"/>
      <c r="P49" s="104" t="n"/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  <c r="AA49" s="101" t="n"/>
      <c r="AB49" s="101" t="n"/>
      <c r="AC49" s="101" t="n"/>
      <c r="AD49" s="101" t="n"/>
      <c r="AE49" s="101" t="n"/>
      <c r="AF49" s="101" t="n"/>
      <c r="AG49" s="101" t="n"/>
      <c r="AH49" s="101" t="n"/>
      <c r="AI49" s="101" t="n"/>
      <c r="AJ49" s="101" t="n"/>
      <c r="AK49" s="101" t="n"/>
      <c r="AL49" s="101" t="n"/>
      <c r="AM49" s="101" t="n"/>
      <c r="AN49" s="101" t="n"/>
      <c r="AO49" s="101" t="n"/>
      <c r="AP49" s="101" t="n"/>
      <c r="AQ49" s="101" t="n"/>
      <c r="AR49" s="101" t="n"/>
      <c r="AS49" s="101" t="n"/>
      <c r="AT49" s="101" t="n"/>
      <c r="AU49" s="101" t="n"/>
      <c r="AV49" s="101" t="n"/>
      <c r="AW49" s="101" t="n"/>
      <c r="AX49" s="101" t="n"/>
      <c r="AY49" s="101" t="n"/>
      <c r="AZ49" s="101" t="n"/>
      <c r="BA49" s="101" t="n"/>
      <c r="BB49" s="101" t="n"/>
      <c r="BC49" s="101" t="n"/>
      <c r="BD49" s="101" t="n"/>
      <c r="BE49" s="101" t="n"/>
      <c r="BF49" s="101" t="n"/>
      <c r="BG49" s="101" t="n"/>
    </row>
    <row r="50" ht="21.95" customFormat="1" customHeight="1" s="123">
      <c r="A50" s="114" t="n"/>
      <c r="B50" s="583" t="inlineStr">
        <is>
          <t xml:space="preserve"> -  ผ6 ผนังก่ออิฐบล็อกกันฝนสาด </t>
        </is>
      </c>
      <c r="C50" s="580" t="n"/>
      <c r="D50" s="581" t="inlineStr">
        <is>
          <t>ตร.ม.</t>
        </is>
      </c>
      <c r="E50" s="582" t="n"/>
      <c r="F50" s="582">
        <f>C50*E50</f>
        <v/>
      </c>
      <c r="G50" s="582" t="n"/>
      <c r="H50" s="582">
        <f>C50*G50</f>
        <v/>
      </c>
      <c r="I50" s="582">
        <f>F50+H50</f>
        <v/>
      </c>
      <c r="J50" s="100" t="n"/>
      <c r="K50" s="153" t="n"/>
      <c r="L50" s="577" t="n"/>
      <c r="M50" s="578" t="n"/>
      <c r="N50" s="104" t="n"/>
      <c r="O50" s="104" t="n"/>
      <c r="P50" s="104" t="n"/>
      <c r="Q50" s="101" t="n"/>
      <c r="R50" s="101" t="n"/>
      <c r="S50" s="101" t="n"/>
      <c r="T50" s="101" t="n"/>
      <c r="U50" s="101" t="n"/>
      <c r="V50" s="101" t="n"/>
      <c r="W50" s="101" t="n"/>
      <c r="X50" s="101" t="n"/>
      <c r="Y50" s="101" t="n"/>
      <c r="Z50" s="101" t="n"/>
      <c r="AA50" s="101" t="n"/>
      <c r="AB50" s="101" t="n"/>
      <c r="AC50" s="101" t="n"/>
      <c r="AD50" s="101" t="n"/>
      <c r="AE50" s="101" t="n"/>
      <c r="AF50" s="101" t="n"/>
      <c r="AG50" s="101" t="n"/>
      <c r="AH50" s="101" t="n"/>
      <c r="AI50" s="101" t="n"/>
      <c r="AJ50" s="101" t="n"/>
      <c r="AK50" s="101" t="n"/>
      <c r="AL50" s="101" t="n"/>
      <c r="AM50" s="101" t="n"/>
      <c r="AN50" s="101" t="n"/>
      <c r="AO50" s="101" t="n"/>
      <c r="AP50" s="101" t="n"/>
      <c r="AQ50" s="101" t="n"/>
      <c r="AR50" s="101" t="n"/>
      <c r="AS50" s="101" t="n"/>
      <c r="AT50" s="101" t="n"/>
      <c r="AU50" s="101" t="n"/>
      <c r="AV50" s="101" t="n"/>
      <c r="AW50" s="101" t="n"/>
      <c r="AX50" s="101" t="n"/>
      <c r="AY50" s="101" t="n"/>
      <c r="AZ50" s="101" t="n"/>
      <c r="BA50" s="101" t="n"/>
      <c r="BB50" s="101" t="n"/>
      <c r="BC50" s="101" t="n"/>
      <c r="BD50" s="101" t="n"/>
      <c r="BE50" s="101" t="n"/>
      <c r="BF50" s="101" t="n"/>
      <c r="BG50" s="101" t="n"/>
    </row>
    <row r="51" ht="21.95" customFormat="1" customHeight="1" s="123">
      <c r="A51" s="114" t="n"/>
      <c r="B51" s="583" t="inlineStr">
        <is>
          <t xml:space="preserve"> - ผ7 ผนังก่ออิฐบล็อกช่องลม</t>
        </is>
      </c>
      <c r="C51" s="580" t="n"/>
      <c r="D51" s="581" t="inlineStr">
        <is>
          <t>ตร.ม.</t>
        </is>
      </c>
      <c r="E51" s="582" t="n"/>
      <c r="F51" s="582">
        <f>C51*E51</f>
        <v/>
      </c>
      <c r="G51" s="582" t="n"/>
      <c r="H51" s="582">
        <f>C51*G51</f>
        <v/>
      </c>
      <c r="I51" s="582">
        <f>F51+H51</f>
        <v/>
      </c>
      <c r="J51" s="100" t="n"/>
      <c r="K51" s="153" t="n"/>
      <c r="L51" s="577" t="n"/>
      <c r="M51" s="578" t="n"/>
      <c r="N51" s="104" t="n"/>
      <c r="O51" s="104" t="n"/>
      <c r="P51" s="104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01" t="n"/>
      <c r="AA51" s="101" t="n"/>
      <c r="AB51" s="101" t="n"/>
      <c r="AC51" s="101" t="n"/>
      <c r="AD51" s="101" t="n"/>
      <c r="AE51" s="101" t="n"/>
      <c r="AF51" s="101" t="n"/>
      <c r="AG51" s="101" t="n"/>
      <c r="AH51" s="101" t="n"/>
      <c r="AI51" s="101" t="n"/>
      <c r="AJ51" s="101" t="n"/>
      <c r="AK51" s="101" t="n"/>
      <c r="AL51" s="101" t="n"/>
      <c r="AM51" s="101" t="n"/>
      <c r="AN51" s="101" t="n"/>
      <c r="AO51" s="101" t="n"/>
      <c r="AP51" s="101" t="n"/>
      <c r="AQ51" s="101" t="n"/>
      <c r="AR51" s="101" t="n"/>
      <c r="AS51" s="101" t="n"/>
      <c r="AT51" s="101" t="n"/>
      <c r="AU51" s="101" t="n"/>
      <c r="AV51" s="101" t="n"/>
      <c r="AW51" s="101" t="n"/>
      <c r="AX51" s="101" t="n"/>
      <c r="AY51" s="101" t="n"/>
      <c r="AZ51" s="101" t="n"/>
      <c r="BA51" s="101" t="n"/>
      <c r="BB51" s="101" t="n"/>
      <c r="BC51" s="101" t="n"/>
      <c r="BD51" s="101" t="n"/>
      <c r="BE51" s="101" t="n"/>
      <c r="BF51" s="101" t="n"/>
      <c r="BG51" s="101" t="n"/>
    </row>
    <row r="52" ht="21.95" customFormat="1" customHeight="1" s="123">
      <c r="A52" s="114" t="n"/>
      <c r="B52" s="583" t="inlineStr">
        <is>
          <t xml:space="preserve"> - ผ10 ผนังก่ออิฐบล็อกแก้ว  ขนาด 190X190X100 มม</t>
        </is>
      </c>
      <c r="C52" s="580" t="n"/>
      <c r="D52" s="581" t="inlineStr">
        <is>
          <t>ตร.ม.</t>
        </is>
      </c>
      <c r="E52" s="582" t="n"/>
      <c r="F52" s="582">
        <f>C52*E52</f>
        <v/>
      </c>
      <c r="G52" s="582" t="n"/>
      <c r="H52" s="582">
        <f>C52*G52</f>
        <v/>
      </c>
      <c r="I52" s="582">
        <f>F52+H52</f>
        <v/>
      </c>
      <c r="J52" s="100" t="n"/>
      <c r="K52" s="153" t="n"/>
      <c r="L52" s="577" t="n"/>
      <c r="M52" s="578" t="n"/>
      <c r="N52" s="104" t="n"/>
      <c r="O52" s="104" t="n"/>
      <c r="P52" s="104" t="n"/>
      <c r="Q52" s="101" t="n"/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  <c r="AA52" s="101" t="n"/>
      <c r="AB52" s="101" t="n"/>
      <c r="AC52" s="101" t="n"/>
      <c r="AD52" s="101" t="n"/>
      <c r="AE52" s="101" t="n"/>
      <c r="AF52" s="101" t="n"/>
      <c r="AG52" s="101" t="n"/>
      <c r="AH52" s="101" t="n"/>
      <c r="AI52" s="101" t="n"/>
      <c r="AJ52" s="101" t="n"/>
      <c r="AK52" s="101" t="n"/>
      <c r="AL52" s="101" t="n"/>
      <c r="AM52" s="101" t="n"/>
      <c r="AN52" s="101" t="n"/>
      <c r="AO52" s="101" t="n"/>
      <c r="AP52" s="101" t="n"/>
      <c r="AQ52" s="101" t="n"/>
      <c r="AR52" s="101" t="n"/>
      <c r="AS52" s="101" t="n"/>
      <c r="AT52" s="101" t="n"/>
      <c r="AU52" s="101" t="n"/>
      <c r="AV52" s="101" t="n"/>
      <c r="AW52" s="101" t="n"/>
      <c r="AX52" s="101" t="n"/>
      <c r="AY52" s="101" t="n"/>
      <c r="AZ52" s="101" t="n"/>
      <c r="BA52" s="101" t="n"/>
      <c r="BB52" s="101" t="n"/>
      <c r="BC52" s="101" t="n"/>
      <c r="BD52" s="101" t="n"/>
      <c r="BE52" s="101" t="n"/>
      <c r="BF52" s="101" t="n"/>
      <c r="BG52" s="101" t="n"/>
    </row>
    <row r="53" ht="21.95" customFormat="1" customHeight="1" s="123">
      <c r="A53" s="114" t="n"/>
      <c r="B53" s="583" t="inlineStr">
        <is>
          <t xml:space="preserve"> - ผ11 ผนังกั้นห้องโครงเคร่าเหล็กชุบสังกะสีกรุแผ่นเรียบหนา 8 มม.สองด้าน</t>
        </is>
      </c>
      <c r="C53" s="580" t="n"/>
      <c r="D53" s="581" t="inlineStr">
        <is>
          <t>ตร.ม.</t>
        </is>
      </c>
      <c r="E53" s="582" t="n"/>
      <c r="F53" s="582">
        <f>C53*E53</f>
        <v/>
      </c>
      <c r="G53" s="582" t="n"/>
      <c r="H53" s="582">
        <f>C53*G53</f>
        <v/>
      </c>
      <c r="I53" s="582">
        <f>F53+H53</f>
        <v/>
      </c>
      <c r="J53" s="131" t="n"/>
      <c r="K53" s="153" t="n"/>
      <c r="L53" s="577" t="n"/>
      <c r="M53" s="578" t="n"/>
      <c r="N53" s="104" t="n"/>
      <c r="O53" s="104" t="n"/>
      <c r="P53" s="104" t="n"/>
      <c r="Q53" s="101" t="n"/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  <c r="AA53" s="101" t="n"/>
      <c r="AB53" s="101" t="n"/>
      <c r="AC53" s="101" t="n"/>
      <c r="AD53" s="101" t="n"/>
      <c r="AE53" s="101" t="n"/>
      <c r="AF53" s="101" t="n"/>
      <c r="AG53" s="101" t="n"/>
      <c r="AH53" s="101" t="n"/>
      <c r="AI53" s="101" t="n"/>
      <c r="AJ53" s="101" t="n"/>
      <c r="AK53" s="101" t="n"/>
      <c r="AL53" s="101" t="n"/>
      <c r="AM53" s="101" t="n"/>
      <c r="AN53" s="101" t="n"/>
      <c r="AO53" s="101" t="n"/>
      <c r="AP53" s="101" t="n"/>
      <c r="AQ53" s="101" t="n"/>
      <c r="AR53" s="101" t="n"/>
      <c r="AS53" s="101" t="n"/>
      <c r="AT53" s="101" t="n"/>
      <c r="AU53" s="101" t="n"/>
      <c r="AV53" s="101" t="n"/>
      <c r="AW53" s="101" t="n"/>
      <c r="AX53" s="101" t="n"/>
      <c r="AY53" s="101" t="n"/>
      <c r="AZ53" s="101" t="n"/>
      <c r="BA53" s="101" t="n"/>
      <c r="BB53" s="101" t="n"/>
      <c r="BC53" s="101" t="n"/>
      <c r="BD53" s="101" t="n"/>
      <c r="BE53" s="101" t="n"/>
      <c r="BF53" s="101" t="n"/>
      <c r="BG53" s="101" t="n"/>
    </row>
    <row r="54" ht="21.95" customFormat="1" customHeight="1" s="123">
      <c r="A54" s="114" t="n"/>
      <c r="B54" s="583" t="inlineStr">
        <is>
          <t xml:space="preserve"> - ผ12 ผนังกั้นห้องโครงเคร่าเหล็กชุบสังกะสีกรุไม้เทียมขนาด 4" หนา 8 มม.</t>
        </is>
      </c>
      <c r="C54" s="580" t="n"/>
      <c r="D54" s="581" t="inlineStr">
        <is>
          <t>ตร.ม.</t>
        </is>
      </c>
      <c r="E54" s="582" t="n"/>
      <c r="F54" s="582">
        <f>C54*E54</f>
        <v/>
      </c>
      <c r="G54" s="582" t="n"/>
      <c r="H54" s="582">
        <f>C54*G54</f>
        <v/>
      </c>
      <c r="I54" s="582">
        <f>F54+H54</f>
        <v/>
      </c>
      <c r="J54" s="131" t="n"/>
      <c r="K54" s="153" t="n"/>
      <c r="L54" s="577" t="n"/>
      <c r="M54" s="578" t="n"/>
      <c r="N54" s="104" t="n"/>
      <c r="O54" s="104" t="n"/>
      <c r="P54" s="104" t="n"/>
      <c r="Q54" s="101" t="n"/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  <c r="AA54" s="101" t="n"/>
      <c r="AB54" s="101" t="n"/>
      <c r="AC54" s="101" t="n"/>
      <c r="AD54" s="101" t="n"/>
      <c r="AE54" s="101" t="n"/>
      <c r="AF54" s="101" t="n"/>
      <c r="AG54" s="101" t="n"/>
      <c r="AH54" s="101" t="n"/>
      <c r="AI54" s="101" t="n"/>
      <c r="AJ54" s="101" t="n"/>
      <c r="AK54" s="101" t="n"/>
      <c r="AL54" s="101" t="n"/>
      <c r="AM54" s="101" t="n"/>
      <c r="AN54" s="101" t="n"/>
      <c r="AO54" s="101" t="n"/>
      <c r="AP54" s="101" t="n"/>
      <c r="AQ54" s="101" t="n"/>
      <c r="AR54" s="101" t="n"/>
      <c r="AS54" s="101" t="n"/>
      <c r="AT54" s="101" t="n"/>
      <c r="AU54" s="101" t="n"/>
      <c r="AV54" s="101" t="n"/>
      <c r="AW54" s="101" t="n"/>
      <c r="AX54" s="101" t="n"/>
      <c r="AY54" s="101" t="n"/>
      <c r="AZ54" s="101" t="n"/>
      <c r="BA54" s="101" t="n"/>
      <c r="BB54" s="101" t="n"/>
      <c r="BC54" s="101" t="n"/>
      <c r="BD54" s="101" t="n"/>
      <c r="BE54" s="101" t="n"/>
      <c r="BF54" s="101" t="n"/>
      <c r="BG54" s="101" t="n"/>
    </row>
    <row r="55" ht="21.95" customFormat="1" customHeight="1" s="123">
      <c r="A55" s="114" t="n"/>
      <c r="B55" s="583" t="inlineStr">
        <is>
          <t xml:space="preserve"> - บัวเชิงผนังพีวีซีขนาด 4" หนา 8 มม.</t>
        </is>
      </c>
      <c r="C55" s="580" t="n"/>
      <c r="D55" s="122" t="inlineStr">
        <is>
          <t>เมตร</t>
        </is>
      </c>
      <c r="E55" s="582" t="n"/>
      <c r="F55" s="582">
        <f>C55*E55</f>
        <v/>
      </c>
      <c r="G55" s="582" t="n"/>
      <c r="H55" s="582">
        <f>C55*G55</f>
        <v/>
      </c>
      <c r="I55" s="582">
        <f>F55+H55</f>
        <v/>
      </c>
      <c r="J55" s="100" t="n"/>
      <c r="K55" s="153" t="n"/>
      <c r="L55" s="577" t="n"/>
      <c r="M55" s="578" t="n"/>
      <c r="N55" s="104" t="n"/>
      <c r="O55" s="104" t="n"/>
      <c r="P55" s="104" t="n"/>
      <c r="Q55" s="101" t="n"/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  <c r="AA55" s="101" t="n"/>
      <c r="AB55" s="101" t="n"/>
      <c r="AC55" s="101" t="n"/>
      <c r="AD55" s="101" t="n"/>
      <c r="AE55" s="101" t="n"/>
      <c r="AF55" s="101" t="n"/>
      <c r="AG55" s="101" t="n"/>
      <c r="AH55" s="101" t="n"/>
      <c r="AI55" s="101" t="n"/>
      <c r="AJ55" s="101" t="n"/>
      <c r="AK55" s="101" t="n"/>
      <c r="AL55" s="101" t="n"/>
      <c r="AM55" s="101" t="n"/>
      <c r="AN55" s="101" t="n"/>
      <c r="AO55" s="101" t="n"/>
      <c r="AP55" s="101" t="n"/>
      <c r="AQ55" s="101" t="n"/>
      <c r="AR55" s="101" t="n"/>
      <c r="AS55" s="101" t="n"/>
      <c r="AT55" s="101" t="n"/>
      <c r="AU55" s="101" t="n"/>
      <c r="AV55" s="101" t="n"/>
      <c r="AW55" s="101" t="n"/>
      <c r="AX55" s="101" t="n"/>
      <c r="AY55" s="101" t="n"/>
      <c r="AZ55" s="101" t="n"/>
      <c r="BA55" s="101" t="n"/>
      <c r="BB55" s="101" t="n"/>
      <c r="BC55" s="101" t="n"/>
      <c r="BD55" s="101" t="n"/>
      <c r="BE55" s="101" t="n"/>
      <c r="BF55" s="101" t="n"/>
      <c r="BG55" s="101" t="n"/>
    </row>
    <row r="56" ht="21.95" customFormat="1" customHeight="1" s="123">
      <c r="A56" s="114" t="n"/>
      <c r="B56" s="583" t="n"/>
      <c r="C56" s="580" t="n"/>
      <c r="D56" s="122" t="n"/>
      <c r="E56" s="582" t="n"/>
      <c r="F56" s="582">
        <f>C56*E56</f>
        <v/>
      </c>
      <c r="G56" s="582" t="n"/>
      <c r="H56" s="582">
        <f>C56*G56</f>
        <v/>
      </c>
      <c r="I56" s="582">
        <f>F56+H56</f>
        <v/>
      </c>
      <c r="J56" s="131" t="n"/>
      <c r="K56" s="153" t="n"/>
      <c r="L56" s="577" t="n"/>
      <c r="M56" s="578" t="n"/>
      <c r="N56" s="104" t="n"/>
      <c r="O56" s="104" t="n"/>
      <c r="P56" s="104" t="n"/>
      <c r="Q56" s="101" t="n"/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  <c r="AA56" s="101" t="n"/>
      <c r="AB56" s="101" t="n"/>
      <c r="AC56" s="101" t="n"/>
      <c r="AD56" s="101" t="n"/>
      <c r="AE56" s="101" t="n"/>
      <c r="AF56" s="101" t="n"/>
      <c r="AG56" s="101" t="n"/>
      <c r="AH56" s="101" t="n"/>
      <c r="AI56" s="101" t="n"/>
      <c r="AJ56" s="101" t="n"/>
      <c r="AK56" s="101" t="n"/>
      <c r="AL56" s="101" t="n"/>
      <c r="AM56" s="101" t="n"/>
      <c r="AN56" s="101" t="n"/>
      <c r="AO56" s="101" t="n"/>
      <c r="AP56" s="101" t="n"/>
      <c r="AQ56" s="101" t="n"/>
      <c r="AR56" s="101" t="n"/>
      <c r="AS56" s="101" t="n"/>
      <c r="AT56" s="101" t="n"/>
      <c r="AU56" s="101" t="n"/>
      <c r="AV56" s="101" t="n"/>
      <c r="AW56" s="101" t="n"/>
      <c r="AX56" s="101" t="n"/>
      <c r="AY56" s="101" t="n"/>
      <c r="AZ56" s="101" t="n"/>
      <c r="BA56" s="101" t="n"/>
      <c r="BB56" s="101" t="n"/>
      <c r="BC56" s="101" t="n"/>
      <c r="BD56" s="101" t="n"/>
      <c r="BE56" s="101" t="n"/>
      <c r="BF56" s="101" t="n"/>
      <c r="BG56" s="101" t="n"/>
    </row>
    <row r="57" ht="21.95" customFormat="1" customHeight="1" s="106">
      <c r="A57" s="107" t="n">
        <v>3.3</v>
      </c>
      <c r="B57" s="579" t="inlineStr">
        <is>
          <t>งานประตู - หน้าต่าง</t>
        </is>
      </c>
      <c r="C57" s="580" t="n"/>
      <c r="D57" s="581" t="n"/>
      <c r="E57" s="582" t="n"/>
      <c r="F57" s="582">
        <f>C57*E57</f>
        <v/>
      </c>
      <c r="G57" s="582" t="n"/>
      <c r="H57" s="582">
        <f>C57*G57</f>
        <v/>
      </c>
      <c r="I57" s="582">
        <f>F57+H57</f>
        <v/>
      </c>
      <c r="J57" s="100" t="n"/>
      <c r="K57" s="153" t="n"/>
      <c r="L57" s="577" t="n"/>
      <c r="M57" s="578" t="n"/>
      <c r="N57" s="104" t="n"/>
      <c r="O57" s="104" t="n"/>
      <c r="P57" s="104" t="n"/>
      <c r="Q57" s="101" t="n"/>
      <c r="R57" s="101" t="n"/>
      <c r="S57" s="126" t="n"/>
      <c r="T57" s="126" t="n"/>
      <c r="U57" s="126" t="n"/>
      <c r="V57" s="126" t="n"/>
      <c r="W57" s="126" t="n"/>
      <c r="X57" s="126" t="n"/>
      <c r="Y57" s="126" t="n"/>
      <c r="Z57" s="126" t="n"/>
      <c r="AA57" s="126" t="n"/>
      <c r="AB57" s="126" t="n"/>
      <c r="AC57" s="126" t="n"/>
      <c r="AD57" s="126" t="n"/>
      <c r="AE57" s="126" t="n"/>
      <c r="AF57" s="126" t="n"/>
      <c r="AG57" s="126" t="n"/>
      <c r="AH57" s="126" t="n"/>
      <c r="AI57" s="126" t="n"/>
      <c r="AJ57" s="126" t="n"/>
      <c r="AK57" s="126" t="n"/>
      <c r="AL57" s="126" t="n"/>
      <c r="AM57" s="126" t="n"/>
      <c r="AN57" s="126" t="n"/>
      <c r="AO57" s="126" t="n"/>
      <c r="AP57" s="126" t="n"/>
      <c r="AQ57" s="126" t="n"/>
      <c r="AR57" s="126" t="n"/>
      <c r="AS57" s="126" t="n"/>
      <c r="AT57" s="126" t="n"/>
      <c r="AU57" s="126" t="n"/>
      <c r="AV57" s="126" t="n"/>
      <c r="AW57" s="126" t="n"/>
      <c r="AX57" s="126" t="n"/>
      <c r="AY57" s="126" t="n"/>
      <c r="AZ57" s="126" t="n"/>
      <c r="BA57" s="126" t="n"/>
      <c r="BB57" s="126" t="n"/>
      <c r="BC57" s="126" t="n"/>
      <c r="BD57" s="126" t="n"/>
      <c r="BE57" s="126" t="n"/>
      <c r="BF57" s="126" t="n"/>
      <c r="BG57" s="126" t="n"/>
    </row>
    <row r="58" ht="21.95" customFormat="1" customHeight="1" s="106">
      <c r="A58" s="114" t="n"/>
      <c r="B58" s="583" t="inlineStr">
        <is>
          <t xml:space="preserve"> -  D0 - ประตูเหล็กม้วนพร้อมอุปกรณ์ขนาด 4.00 x 3.00 ม.</t>
        </is>
      </c>
      <c r="C58" s="580" t="n"/>
      <c r="D58" s="581" t="inlineStr">
        <is>
          <t>ชุด</t>
        </is>
      </c>
      <c r="E58" s="582" t="n"/>
      <c r="F58" s="582">
        <f>C58*E58</f>
        <v/>
      </c>
      <c r="G58" s="582" t="n"/>
      <c r="H58" s="582">
        <f>C58*G58</f>
        <v/>
      </c>
      <c r="I58" s="582">
        <f>F58+H58</f>
        <v/>
      </c>
      <c r="J58" s="100" t="n"/>
      <c r="K58" s="153" t="n"/>
      <c r="L58" s="577" t="n"/>
      <c r="M58" s="578" t="n"/>
      <c r="N58" s="104" t="n"/>
      <c r="O58" s="104" t="n"/>
      <c r="P58" s="104" t="n"/>
      <c r="Q58" s="101" t="n"/>
      <c r="R58" s="101" t="n"/>
      <c r="S58" s="126" t="n"/>
      <c r="T58" s="126" t="n"/>
      <c r="U58" s="126" t="n"/>
      <c r="V58" s="126" t="n"/>
      <c r="W58" s="126" t="n"/>
      <c r="X58" s="126" t="n"/>
      <c r="Y58" s="126" t="n"/>
      <c r="Z58" s="126" t="n"/>
      <c r="AA58" s="126" t="n"/>
      <c r="AB58" s="126" t="n"/>
      <c r="AC58" s="126" t="n"/>
      <c r="AD58" s="126" t="n"/>
      <c r="AE58" s="126" t="n"/>
      <c r="AF58" s="126" t="n"/>
      <c r="AG58" s="126" t="n"/>
      <c r="AH58" s="126" t="n"/>
      <c r="AI58" s="126" t="n"/>
      <c r="AJ58" s="126" t="n"/>
      <c r="AK58" s="126" t="n"/>
      <c r="AL58" s="126" t="n"/>
      <c r="AM58" s="126" t="n"/>
      <c r="AN58" s="126" t="n"/>
      <c r="AO58" s="126" t="n"/>
      <c r="AP58" s="126" t="n"/>
      <c r="AQ58" s="126" t="n"/>
      <c r="AR58" s="126" t="n"/>
      <c r="AS58" s="126" t="n"/>
      <c r="AT58" s="126" t="n"/>
      <c r="AU58" s="126" t="n"/>
      <c r="AV58" s="126" t="n"/>
      <c r="AW58" s="126" t="n"/>
      <c r="AX58" s="126" t="n"/>
      <c r="AY58" s="126" t="n"/>
      <c r="AZ58" s="126" t="n"/>
      <c r="BA58" s="126" t="n"/>
      <c r="BB58" s="126" t="n"/>
      <c r="BC58" s="126" t="n"/>
      <c r="BD58" s="126" t="n"/>
      <c r="BE58" s="126" t="n"/>
      <c r="BF58" s="126" t="n"/>
      <c r="BG58" s="126" t="n"/>
    </row>
    <row r="59" ht="21.95" customFormat="1" customHeight="1" s="106">
      <c r="A59" s="114" t="n"/>
      <c r="B59" s="583" t="inlineStr">
        <is>
          <t xml:space="preserve"> - D1 - ประตูบานเปิดเดี่ยวพร้อมอุปกรณ์ขนาด 0.90 x 2.00 ม.</t>
        </is>
      </c>
      <c r="C59" s="580" t="n"/>
      <c r="D59" s="581" t="inlineStr">
        <is>
          <t>ชุด</t>
        </is>
      </c>
      <c r="E59" s="582" t="n"/>
      <c r="F59" s="582">
        <f>C59*E59</f>
        <v/>
      </c>
      <c r="G59" s="582" t="n"/>
      <c r="H59" s="582">
        <f>C59*G59</f>
        <v/>
      </c>
      <c r="I59" s="582">
        <f>F59+H59</f>
        <v/>
      </c>
      <c r="J59" s="100" t="n"/>
      <c r="K59" s="153" t="n"/>
      <c r="L59" s="577" t="n"/>
      <c r="M59" s="578" t="n"/>
      <c r="N59" s="104" t="n"/>
      <c r="O59" s="104" t="n"/>
      <c r="P59" s="104" t="n"/>
      <c r="Q59" s="101" t="n"/>
      <c r="R59" s="101" t="n"/>
      <c r="S59" s="126" t="n"/>
      <c r="T59" s="126" t="n"/>
      <c r="U59" s="126" t="n"/>
      <c r="V59" s="126" t="n"/>
      <c r="W59" s="126" t="n"/>
      <c r="X59" s="126" t="n"/>
      <c r="Y59" s="126" t="n"/>
      <c r="Z59" s="126" t="n"/>
      <c r="AA59" s="126" t="n"/>
      <c r="AB59" s="126" t="n"/>
      <c r="AC59" s="126" t="n"/>
      <c r="AD59" s="126" t="n"/>
      <c r="AE59" s="126" t="n"/>
      <c r="AF59" s="126" t="n"/>
      <c r="AG59" s="126" t="n"/>
      <c r="AH59" s="126" t="n"/>
      <c r="AI59" s="126" t="n"/>
      <c r="AJ59" s="126" t="n"/>
      <c r="AK59" s="126" t="n"/>
      <c r="AL59" s="126" t="n"/>
      <c r="AM59" s="126" t="n"/>
      <c r="AN59" s="126" t="n"/>
      <c r="AO59" s="126" t="n"/>
      <c r="AP59" s="126" t="n"/>
      <c r="AQ59" s="126" t="n"/>
      <c r="AR59" s="126" t="n"/>
      <c r="AS59" s="126" t="n"/>
      <c r="AT59" s="126" t="n"/>
      <c r="AU59" s="126" t="n"/>
      <c r="AV59" s="126" t="n"/>
      <c r="AW59" s="126" t="n"/>
      <c r="AX59" s="126" t="n"/>
      <c r="AY59" s="126" t="n"/>
      <c r="AZ59" s="126" t="n"/>
      <c r="BA59" s="126" t="n"/>
      <c r="BB59" s="126" t="n"/>
      <c r="BC59" s="126" t="n"/>
      <c r="BD59" s="126" t="n"/>
      <c r="BE59" s="126" t="n"/>
      <c r="BF59" s="126" t="n"/>
      <c r="BG59" s="126" t="n"/>
    </row>
    <row r="60" ht="21.95" customFormat="1" customHeight="1" s="106">
      <c r="A60" s="114" t="n"/>
      <c r="B60" s="583" t="inlineStr">
        <is>
          <t xml:space="preserve"> - D2 - ประตูบานสวิงซ์คู่อลูมิเนียมพร้อมอุปกรณ์ขนาด1.80 x 2.00 ม.มีช่องแสง</t>
        </is>
      </c>
      <c r="C60" s="580" t="n"/>
      <c r="D60" s="581" t="inlineStr">
        <is>
          <t>ชุด</t>
        </is>
      </c>
      <c r="E60" s="582" t="n"/>
      <c r="F60" s="582">
        <f>C60*E60</f>
        <v/>
      </c>
      <c r="G60" s="582" t="n"/>
      <c r="H60" s="582">
        <f>C60*G60</f>
        <v/>
      </c>
      <c r="I60" s="582">
        <f>F60+H60</f>
        <v/>
      </c>
      <c r="J60" s="100" t="n"/>
      <c r="K60" s="132" t="n"/>
      <c r="L60" s="577" t="n"/>
      <c r="M60" s="578" t="n"/>
      <c r="N60" s="104" t="n"/>
      <c r="O60" s="104" t="n"/>
      <c r="P60" s="104" t="n"/>
      <c r="Q60" s="101" t="n"/>
      <c r="R60" s="101" t="n"/>
      <c r="S60" s="126" t="n"/>
      <c r="T60" s="126" t="n"/>
      <c r="U60" s="126" t="n"/>
      <c r="V60" s="126" t="n"/>
      <c r="W60" s="126" t="n"/>
      <c r="X60" s="126" t="n"/>
      <c r="Y60" s="126" t="n"/>
      <c r="Z60" s="126" t="n"/>
      <c r="AA60" s="126" t="n"/>
      <c r="AB60" s="126" t="n"/>
      <c r="AC60" s="126" t="n"/>
      <c r="AD60" s="126" t="n"/>
      <c r="AE60" s="126" t="n"/>
      <c r="AF60" s="126" t="n"/>
      <c r="AG60" s="126" t="n"/>
      <c r="AH60" s="126" t="n"/>
      <c r="AI60" s="126" t="n"/>
      <c r="AJ60" s="126" t="n"/>
      <c r="AK60" s="126" t="n"/>
      <c r="AL60" s="126" t="n"/>
      <c r="AM60" s="126" t="n"/>
      <c r="AN60" s="126" t="n"/>
      <c r="AO60" s="126" t="n"/>
      <c r="AP60" s="126" t="n"/>
      <c r="AQ60" s="126" t="n"/>
      <c r="AR60" s="126" t="n"/>
      <c r="AS60" s="126" t="n"/>
      <c r="AT60" s="126" t="n"/>
      <c r="AU60" s="126" t="n"/>
      <c r="AV60" s="126" t="n"/>
      <c r="AW60" s="126" t="n"/>
      <c r="AX60" s="126" t="n"/>
      <c r="AY60" s="126" t="n"/>
      <c r="AZ60" s="126" t="n"/>
      <c r="BA60" s="126" t="n"/>
      <c r="BB60" s="126" t="n"/>
      <c r="BC60" s="126" t="n"/>
      <c r="BD60" s="126" t="n"/>
      <c r="BE60" s="126" t="n"/>
      <c r="BF60" s="126" t="n"/>
      <c r="BG60" s="126" t="n"/>
    </row>
    <row r="61" ht="21.95" customFormat="1" customHeight="1" s="106">
      <c r="A61" s="114" t="n"/>
      <c r="B61" s="583" t="inlineStr">
        <is>
          <t xml:space="preserve"> - D3 - ประตูบานเปิดเดี่ยวพร้อมอุปกรณ์ขนาด 0.90 x 2.00 ม.</t>
        </is>
      </c>
      <c r="C61" s="580" t="n"/>
      <c r="D61" s="581" t="inlineStr">
        <is>
          <t>ชุด</t>
        </is>
      </c>
      <c r="E61" s="582" t="n"/>
      <c r="F61" s="582">
        <f>C61*E61</f>
        <v/>
      </c>
      <c r="G61" s="582" t="n"/>
      <c r="H61" s="582">
        <f>C61*G61</f>
        <v/>
      </c>
      <c r="I61" s="582">
        <f>F61+H61</f>
        <v/>
      </c>
      <c r="J61" s="100" t="n"/>
      <c r="K61" s="132" t="n"/>
      <c r="L61" s="577" t="n"/>
      <c r="M61" s="578" t="n"/>
      <c r="N61" s="104" t="n"/>
      <c r="O61" s="104" t="n"/>
      <c r="P61" s="104" t="n"/>
      <c r="Q61" s="101" t="n"/>
      <c r="R61" s="101" t="n"/>
      <c r="S61" s="126" t="n"/>
      <c r="T61" s="126" t="n"/>
      <c r="U61" s="126" t="n"/>
      <c r="V61" s="126" t="n"/>
      <c r="W61" s="126" t="n"/>
      <c r="X61" s="126" t="n"/>
      <c r="Y61" s="126" t="n"/>
      <c r="Z61" s="126" t="n"/>
      <c r="AA61" s="126" t="n"/>
      <c r="AB61" s="126" t="n"/>
      <c r="AC61" s="126" t="n"/>
      <c r="AD61" s="126" t="n"/>
      <c r="AE61" s="126" t="n"/>
      <c r="AF61" s="126" t="n"/>
      <c r="AG61" s="126" t="n"/>
      <c r="AH61" s="126" t="n"/>
      <c r="AI61" s="126" t="n"/>
      <c r="AJ61" s="126" t="n"/>
      <c r="AK61" s="126" t="n"/>
      <c r="AL61" s="126" t="n"/>
      <c r="AM61" s="126" t="n"/>
      <c r="AN61" s="126" t="n"/>
      <c r="AO61" s="126" t="n"/>
      <c r="AP61" s="126" t="n"/>
      <c r="AQ61" s="126" t="n"/>
      <c r="AR61" s="126" t="n"/>
      <c r="AS61" s="126" t="n"/>
      <c r="AT61" s="126" t="n"/>
      <c r="AU61" s="126" t="n"/>
      <c r="AV61" s="126" t="n"/>
      <c r="AW61" s="126" t="n"/>
      <c r="AX61" s="126" t="n"/>
      <c r="AY61" s="126" t="n"/>
      <c r="AZ61" s="126" t="n"/>
      <c r="BA61" s="126" t="n"/>
      <c r="BB61" s="126" t="n"/>
      <c r="BC61" s="126" t="n"/>
      <c r="BD61" s="126" t="n"/>
      <c r="BE61" s="126" t="n"/>
      <c r="BF61" s="126" t="n"/>
      <c r="BG61" s="126" t="n"/>
    </row>
    <row r="62" ht="21.95" customFormat="1" customHeight="1" s="106">
      <c r="A62" s="114" t="n"/>
      <c r="B62" s="583" t="inlineStr">
        <is>
          <t xml:space="preserve"> - D4 - ประตูบานเปิดเดี่ยวพร้อมอุปกรณ์ขนาด 0.70 x 2.00 ม.</t>
        </is>
      </c>
      <c r="C62" s="580" t="n"/>
      <c r="D62" s="581" t="inlineStr">
        <is>
          <t>ชุด</t>
        </is>
      </c>
      <c r="E62" s="582" t="n"/>
      <c r="F62" s="582">
        <f>C62*E62</f>
        <v/>
      </c>
      <c r="G62" s="582" t="n"/>
      <c r="H62" s="582">
        <f>C62*G62</f>
        <v/>
      </c>
      <c r="I62" s="582">
        <f>F62+H62</f>
        <v/>
      </c>
      <c r="J62" s="100" t="n"/>
      <c r="K62" s="153" t="n"/>
      <c r="L62" s="577" t="n"/>
      <c r="M62" s="578" t="n"/>
      <c r="N62" s="104" t="n"/>
      <c r="O62" s="104" t="n"/>
      <c r="P62" s="104" t="n"/>
      <c r="Q62" s="101" t="n"/>
      <c r="R62" s="101" t="n"/>
      <c r="S62" s="126" t="n"/>
      <c r="T62" s="126" t="n"/>
      <c r="U62" s="126" t="n"/>
      <c r="V62" s="126" t="n"/>
      <c r="W62" s="126" t="n"/>
      <c r="X62" s="126" t="n"/>
      <c r="Y62" s="126" t="n"/>
      <c r="Z62" s="126" t="n"/>
      <c r="AA62" s="126" t="n"/>
      <c r="AB62" s="126" t="n"/>
      <c r="AC62" s="126" t="n"/>
      <c r="AD62" s="126" t="n"/>
      <c r="AE62" s="126" t="n"/>
      <c r="AF62" s="126" t="n"/>
      <c r="AG62" s="126" t="n"/>
      <c r="AH62" s="126" t="n"/>
      <c r="AI62" s="126" t="n"/>
      <c r="AJ62" s="126" t="n"/>
      <c r="AK62" s="126" t="n"/>
      <c r="AL62" s="126" t="n"/>
      <c r="AM62" s="126" t="n"/>
      <c r="AN62" s="126" t="n"/>
      <c r="AO62" s="126" t="n"/>
      <c r="AP62" s="126" t="n"/>
      <c r="AQ62" s="126" t="n"/>
      <c r="AR62" s="126" t="n"/>
      <c r="AS62" s="126" t="n"/>
      <c r="AT62" s="126" t="n"/>
      <c r="AU62" s="126" t="n"/>
      <c r="AV62" s="126" t="n"/>
      <c r="AW62" s="126" t="n"/>
      <c r="AX62" s="126" t="n"/>
      <c r="AY62" s="126" t="n"/>
      <c r="AZ62" s="126" t="n"/>
      <c r="BA62" s="126" t="n"/>
      <c r="BB62" s="126" t="n"/>
      <c r="BC62" s="126" t="n"/>
      <c r="BD62" s="126" t="n"/>
      <c r="BE62" s="126" t="n"/>
      <c r="BF62" s="126" t="n"/>
      <c r="BG62" s="126" t="n"/>
    </row>
    <row r="63" ht="21.95" customFormat="1" customHeight="1" s="106">
      <c r="A63" s="114" t="n"/>
      <c r="B63" s="583" t="inlineStr">
        <is>
          <t xml:space="preserve"> - D5 - ประตูห้องวางแท้งค์น้ำ</t>
        </is>
      </c>
      <c r="C63" s="580" t="n"/>
      <c r="D63" s="581" t="inlineStr">
        <is>
          <t>ชุด</t>
        </is>
      </c>
      <c r="E63" s="582" t="n"/>
      <c r="F63" s="582">
        <f>C63*E63</f>
        <v/>
      </c>
      <c r="G63" s="589" t="n"/>
      <c r="H63" s="589">
        <f>C63*G63</f>
        <v/>
      </c>
      <c r="I63" s="582">
        <f>F63+H63</f>
        <v/>
      </c>
      <c r="J63" s="100" t="n"/>
      <c r="K63" s="153" t="n"/>
      <c r="L63" s="577" t="n"/>
      <c r="M63" s="578" t="n"/>
      <c r="N63" s="104" t="n"/>
      <c r="O63" s="104" t="n"/>
      <c r="P63" s="104" t="n"/>
      <c r="Q63" s="101" t="n"/>
      <c r="R63" s="101" t="n"/>
      <c r="S63" s="126" t="n"/>
      <c r="T63" s="126" t="n"/>
      <c r="U63" s="126" t="n"/>
      <c r="V63" s="126" t="n"/>
      <c r="W63" s="126" t="n"/>
      <c r="X63" s="126" t="n"/>
      <c r="Y63" s="126" t="n"/>
      <c r="Z63" s="126" t="n"/>
      <c r="AA63" s="126" t="n"/>
      <c r="AB63" s="126" t="n"/>
      <c r="AC63" s="126" t="n"/>
      <c r="AD63" s="126" t="n"/>
      <c r="AE63" s="126" t="n"/>
      <c r="AF63" s="126" t="n"/>
      <c r="AG63" s="126" t="n"/>
      <c r="AH63" s="126" t="n"/>
      <c r="AI63" s="126" t="n"/>
      <c r="AJ63" s="126" t="n"/>
      <c r="AK63" s="126" t="n"/>
      <c r="AL63" s="126" t="n"/>
      <c r="AM63" s="126" t="n"/>
      <c r="AN63" s="126" t="n"/>
      <c r="AO63" s="126" t="n"/>
      <c r="AP63" s="126" t="n"/>
      <c r="AQ63" s="126" t="n"/>
      <c r="AR63" s="126" t="n"/>
      <c r="AS63" s="126" t="n"/>
      <c r="AT63" s="126" t="n"/>
      <c r="AU63" s="126" t="n"/>
      <c r="AV63" s="126" t="n"/>
      <c r="AW63" s="126" t="n"/>
      <c r="AX63" s="126" t="n"/>
      <c r="AY63" s="126" t="n"/>
      <c r="AZ63" s="126" t="n"/>
      <c r="BA63" s="126" t="n"/>
      <c r="BB63" s="126" t="n"/>
      <c r="BC63" s="126" t="n"/>
      <c r="BD63" s="126" t="n"/>
      <c r="BE63" s="126" t="n"/>
      <c r="BF63" s="126" t="n"/>
      <c r="BG63" s="126" t="n"/>
    </row>
    <row r="64" ht="21.95" customFormat="1" customHeight="1" s="106">
      <c r="A64" s="114" t="n"/>
      <c r="B64" s="583" t="inlineStr">
        <is>
          <t xml:space="preserve"> - D6 - ประตูบานเปิดเดี่ยวพร้อมอุปกรณ์ขนาด 0.70 x 2.00 ม.</t>
        </is>
      </c>
      <c r="C64" s="580" t="n"/>
      <c r="D64" s="581" t="inlineStr">
        <is>
          <t>ชุด</t>
        </is>
      </c>
      <c r="E64" s="582" t="n"/>
      <c r="F64" s="582">
        <f>C64*E64</f>
        <v/>
      </c>
      <c r="G64" s="589" t="n"/>
      <c r="H64" s="589">
        <f>C64*G64</f>
        <v/>
      </c>
      <c r="I64" s="582">
        <f>F64+H64</f>
        <v/>
      </c>
      <c r="J64" s="100" t="n"/>
      <c r="K64" s="153" t="n"/>
      <c r="L64" s="577" t="n"/>
      <c r="M64" s="578" t="n"/>
      <c r="N64" s="104" t="n"/>
      <c r="O64" s="104" t="n"/>
      <c r="P64" s="104" t="n"/>
      <c r="Q64" s="101" t="n"/>
      <c r="R64" s="101" t="n"/>
      <c r="S64" s="126" t="n"/>
      <c r="T64" s="126" t="n"/>
      <c r="U64" s="126" t="n"/>
      <c r="V64" s="126" t="n"/>
      <c r="W64" s="126" t="n"/>
      <c r="X64" s="126" t="n"/>
      <c r="Y64" s="126" t="n"/>
      <c r="Z64" s="126" t="n"/>
      <c r="AA64" s="126" t="n"/>
      <c r="AB64" s="126" t="n"/>
      <c r="AC64" s="126" t="n"/>
      <c r="AD64" s="126" t="n"/>
      <c r="AE64" s="126" t="n"/>
      <c r="AF64" s="126" t="n"/>
      <c r="AG64" s="126" t="n"/>
      <c r="AH64" s="126" t="n"/>
      <c r="AI64" s="126" t="n"/>
      <c r="AJ64" s="126" t="n"/>
      <c r="AK64" s="126" t="n"/>
      <c r="AL64" s="126" t="n"/>
      <c r="AM64" s="126" t="n"/>
      <c r="AN64" s="126" t="n"/>
      <c r="AO64" s="126" t="n"/>
      <c r="AP64" s="126" t="n"/>
      <c r="AQ64" s="126" t="n"/>
      <c r="AR64" s="126" t="n"/>
      <c r="AS64" s="126" t="n"/>
      <c r="AT64" s="126" t="n"/>
      <c r="AU64" s="126" t="n"/>
      <c r="AV64" s="126" t="n"/>
      <c r="AW64" s="126" t="n"/>
      <c r="AX64" s="126" t="n"/>
      <c r="AY64" s="126" t="n"/>
      <c r="AZ64" s="126" t="n"/>
      <c r="BA64" s="126" t="n"/>
      <c r="BB64" s="126" t="n"/>
      <c r="BC64" s="126" t="n"/>
      <c r="BD64" s="126" t="n"/>
      <c r="BE64" s="126" t="n"/>
      <c r="BF64" s="126" t="n"/>
      <c r="BG64" s="126" t="n"/>
    </row>
    <row r="65" ht="21.95" customFormat="1" customHeight="1" s="106">
      <c r="A65" s="114" t="n"/>
      <c r="B65" s="583" t="inlineStr">
        <is>
          <t xml:space="preserve"> - D7 - ประตูบานเปิดเดี่ยวพร้อมอุปกรณ์ขนาด 0.60 x 1.50 ม.</t>
        </is>
      </c>
      <c r="C65" s="580" t="n"/>
      <c r="D65" s="581" t="inlineStr">
        <is>
          <t>ชุด</t>
        </is>
      </c>
      <c r="E65" s="582" t="n"/>
      <c r="F65" s="582">
        <f>C65*E65</f>
        <v/>
      </c>
      <c r="G65" s="589" t="n"/>
      <c r="H65" s="589">
        <f>C65*G65</f>
        <v/>
      </c>
      <c r="I65" s="582">
        <f>F65+H65</f>
        <v/>
      </c>
      <c r="J65" s="100" t="n"/>
      <c r="K65" s="153" t="n"/>
      <c r="L65" s="577" t="n"/>
      <c r="M65" s="578" t="n"/>
      <c r="N65" s="104" t="n"/>
      <c r="O65" s="104" t="n"/>
      <c r="P65" s="104" t="n"/>
      <c r="Q65" s="101" t="n"/>
      <c r="R65" s="101" t="n"/>
      <c r="S65" s="126" t="n"/>
      <c r="T65" s="126" t="n"/>
      <c r="U65" s="126" t="n"/>
      <c r="V65" s="126" t="n"/>
      <c r="W65" s="126" t="n"/>
      <c r="X65" s="126" t="n"/>
      <c r="Y65" s="126" t="n"/>
      <c r="Z65" s="126" t="n"/>
      <c r="AA65" s="126" t="n"/>
      <c r="AB65" s="126" t="n"/>
      <c r="AC65" s="126" t="n"/>
      <c r="AD65" s="126" t="n"/>
      <c r="AE65" s="126" t="n"/>
      <c r="AF65" s="126" t="n"/>
      <c r="AG65" s="126" t="n"/>
      <c r="AH65" s="126" t="n"/>
      <c r="AI65" s="126" t="n"/>
      <c r="AJ65" s="126" t="n"/>
      <c r="AK65" s="126" t="n"/>
      <c r="AL65" s="126" t="n"/>
      <c r="AM65" s="126" t="n"/>
      <c r="AN65" s="126" t="n"/>
      <c r="AO65" s="126" t="n"/>
      <c r="AP65" s="126" t="n"/>
      <c r="AQ65" s="126" t="n"/>
      <c r="AR65" s="126" t="n"/>
      <c r="AS65" s="126" t="n"/>
      <c r="AT65" s="126" t="n"/>
      <c r="AU65" s="126" t="n"/>
      <c r="AV65" s="126" t="n"/>
      <c r="AW65" s="126" t="n"/>
      <c r="AX65" s="126" t="n"/>
      <c r="AY65" s="126" t="n"/>
      <c r="AZ65" s="126" t="n"/>
      <c r="BA65" s="126" t="n"/>
      <c r="BB65" s="126" t="n"/>
      <c r="BC65" s="126" t="n"/>
      <c r="BD65" s="126" t="n"/>
      <c r="BE65" s="126" t="n"/>
      <c r="BF65" s="126" t="n"/>
      <c r="BG65" s="126" t="n"/>
    </row>
    <row r="66" ht="21.95" customFormat="1" customHeight="1" s="106">
      <c r="A66" s="114" t="n"/>
      <c r="B66" s="583" t="inlineStr">
        <is>
          <t xml:space="preserve"> - D8 - ประตูบานเปิดเดี่ยวพร้อมอุปกรณ์ขนาด 0.80 x 2.00 ม.</t>
        </is>
      </c>
      <c r="C66" s="580" t="n"/>
      <c r="D66" s="581" t="inlineStr">
        <is>
          <t>ชุด</t>
        </is>
      </c>
      <c r="E66" s="582" t="n"/>
      <c r="F66" s="582">
        <f>C66*E66</f>
        <v/>
      </c>
      <c r="G66" s="589" t="n"/>
      <c r="H66" s="589">
        <f>C66*G66</f>
        <v/>
      </c>
      <c r="I66" s="582">
        <f>F66+H66</f>
        <v/>
      </c>
      <c r="J66" s="100" t="n"/>
      <c r="K66" s="153" t="n"/>
      <c r="L66" s="577" t="n"/>
      <c r="M66" s="578" t="n"/>
      <c r="N66" s="104" t="n"/>
      <c r="O66" s="104" t="n"/>
      <c r="P66" s="104" t="n"/>
      <c r="Q66" s="101" t="n"/>
      <c r="R66" s="101" t="n"/>
      <c r="S66" s="126" t="n"/>
      <c r="T66" s="126" t="n"/>
      <c r="U66" s="126" t="n"/>
      <c r="V66" s="126" t="n"/>
      <c r="W66" s="126" t="n"/>
      <c r="X66" s="126" t="n"/>
      <c r="Y66" s="126" t="n"/>
      <c r="Z66" s="126" t="n"/>
      <c r="AA66" s="126" t="n"/>
      <c r="AB66" s="126" t="n"/>
      <c r="AC66" s="126" t="n"/>
      <c r="AD66" s="126" t="n"/>
      <c r="AE66" s="126" t="n"/>
      <c r="AF66" s="126" t="n"/>
      <c r="AG66" s="126" t="n"/>
      <c r="AH66" s="126" t="n"/>
      <c r="AI66" s="126" t="n"/>
      <c r="AJ66" s="126" t="n"/>
      <c r="AK66" s="126" t="n"/>
      <c r="AL66" s="126" t="n"/>
      <c r="AM66" s="126" t="n"/>
      <c r="AN66" s="126" t="n"/>
      <c r="AO66" s="126" t="n"/>
      <c r="AP66" s="126" t="n"/>
      <c r="AQ66" s="126" t="n"/>
      <c r="AR66" s="126" t="n"/>
      <c r="AS66" s="126" t="n"/>
      <c r="AT66" s="126" t="n"/>
      <c r="AU66" s="126" t="n"/>
      <c r="AV66" s="126" t="n"/>
      <c r="AW66" s="126" t="n"/>
      <c r="AX66" s="126" t="n"/>
      <c r="AY66" s="126" t="n"/>
      <c r="AZ66" s="126" t="n"/>
      <c r="BA66" s="126" t="n"/>
      <c r="BB66" s="126" t="n"/>
      <c r="BC66" s="126" t="n"/>
      <c r="BD66" s="126" t="n"/>
      <c r="BE66" s="126" t="n"/>
      <c r="BF66" s="126" t="n"/>
      <c r="BG66" s="126" t="n"/>
    </row>
    <row r="67" ht="21.95" customFormat="1" customHeight="1" s="106">
      <c r="A67" s="114" t="n"/>
      <c r="B67" s="583" t="inlineStr">
        <is>
          <t xml:space="preserve"> - D9 - ประตูบานเปิดเดี่ยวพร้อมอุปกรณ์ขนาด 0.70 x 2.00 ม.</t>
        </is>
      </c>
      <c r="C67" s="580" t="n"/>
      <c r="D67" s="581" t="inlineStr">
        <is>
          <t>ชุด</t>
        </is>
      </c>
      <c r="E67" s="582" t="n"/>
      <c r="F67" s="582">
        <f>C67*E67</f>
        <v/>
      </c>
      <c r="G67" s="589" t="n"/>
      <c r="H67" s="589">
        <f>C67*G67</f>
        <v/>
      </c>
      <c r="I67" s="582">
        <f>F67+H67</f>
        <v/>
      </c>
      <c r="J67" s="100" t="n"/>
      <c r="K67" s="153" t="n"/>
      <c r="L67" s="577" t="n"/>
      <c r="M67" s="578" t="n"/>
      <c r="N67" s="104" t="n"/>
      <c r="O67" s="104" t="n"/>
      <c r="P67" s="104" t="n"/>
      <c r="Q67" s="101" t="n"/>
      <c r="R67" s="101" t="n"/>
      <c r="S67" s="126" t="n"/>
      <c r="T67" s="126" t="n"/>
      <c r="U67" s="126" t="n"/>
      <c r="V67" s="126" t="n"/>
      <c r="W67" s="126" t="n"/>
      <c r="X67" s="126" t="n"/>
      <c r="Y67" s="126" t="n"/>
      <c r="Z67" s="126" t="n"/>
      <c r="AA67" s="126" t="n"/>
      <c r="AB67" s="126" t="n"/>
      <c r="AC67" s="126" t="n"/>
      <c r="AD67" s="126" t="n"/>
      <c r="AE67" s="126" t="n"/>
      <c r="AF67" s="126" t="n"/>
      <c r="AG67" s="126" t="n"/>
      <c r="AH67" s="126" t="n"/>
      <c r="AI67" s="126" t="n"/>
      <c r="AJ67" s="126" t="n"/>
      <c r="AK67" s="126" t="n"/>
      <c r="AL67" s="126" t="n"/>
      <c r="AM67" s="126" t="n"/>
      <c r="AN67" s="126" t="n"/>
      <c r="AO67" s="126" t="n"/>
      <c r="AP67" s="126" t="n"/>
      <c r="AQ67" s="126" t="n"/>
      <c r="AR67" s="126" t="n"/>
      <c r="AS67" s="126" t="n"/>
      <c r="AT67" s="126" t="n"/>
      <c r="AU67" s="126" t="n"/>
      <c r="AV67" s="126" t="n"/>
      <c r="AW67" s="126" t="n"/>
      <c r="AX67" s="126" t="n"/>
      <c r="AY67" s="126" t="n"/>
      <c r="AZ67" s="126" t="n"/>
      <c r="BA67" s="126" t="n"/>
      <c r="BB67" s="126" t="n"/>
      <c r="BC67" s="126" t="n"/>
      <c r="BD67" s="126" t="n"/>
      <c r="BE67" s="126" t="n"/>
      <c r="BF67" s="126" t="n"/>
      <c r="BG67" s="126" t="n"/>
    </row>
    <row r="68" ht="21.95" customFormat="1" customHeight="1" s="106">
      <c r="A68" s="114" t="n"/>
      <c r="B68" s="583" t="inlineStr">
        <is>
          <t xml:space="preserve"> - น1 - หน้าต่างบานเปิด6บานปรับมุมพร้อมอุปกรณ์ขนาด 3.30 x 1.15 ม.</t>
        </is>
      </c>
      <c r="C68" s="580" t="n"/>
      <c r="D68" s="581" t="inlineStr">
        <is>
          <t>ชุด</t>
        </is>
      </c>
      <c r="E68" s="582" t="n"/>
      <c r="F68" s="582">
        <f>C68*E68</f>
        <v/>
      </c>
      <c r="G68" s="589" t="n"/>
      <c r="H68" s="589">
        <f>C68*G68</f>
        <v/>
      </c>
      <c r="I68" s="582">
        <f>F68+H68</f>
        <v/>
      </c>
      <c r="J68" s="100" t="n"/>
      <c r="K68" s="153" t="n"/>
      <c r="L68" s="577" t="n"/>
      <c r="M68" s="578" t="n"/>
      <c r="N68" s="104" t="n"/>
      <c r="O68" s="104" t="n"/>
      <c r="P68" s="104" t="n"/>
      <c r="Q68" s="101" t="n"/>
      <c r="R68" s="101" t="n"/>
      <c r="S68" s="126" t="n"/>
      <c r="T68" s="126" t="n"/>
      <c r="U68" s="126" t="n"/>
      <c r="V68" s="126" t="n"/>
      <c r="W68" s="126" t="n"/>
      <c r="X68" s="126" t="n"/>
      <c r="Y68" s="126" t="n"/>
      <c r="Z68" s="126" t="n"/>
      <c r="AA68" s="126" t="n"/>
      <c r="AB68" s="126" t="n"/>
      <c r="AC68" s="126" t="n"/>
      <c r="AD68" s="126" t="n"/>
      <c r="AE68" s="126" t="n"/>
      <c r="AF68" s="126" t="n"/>
      <c r="AG68" s="126" t="n"/>
      <c r="AH68" s="126" t="n"/>
      <c r="AI68" s="126" t="n"/>
      <c r="AJ68" s="126" t="n"/>
      <c r="AK68" s="126" t="n"/>
      <c r="AL68" s="126" t="n"/>
      <c r="AM68" s="126" t="n"/>
      <c r="AN68" s="126" t="n"/>
      <c r="AO68" s="126" t="n"/>
      <c r="AP68" s="126" t="n"/>
      <c r="AQ68" s="126" t="n"/>
      <c r="AR68" s="126" t="n"/>
      <c r="AS68" s="126" t="n"/>
      <c r="AT68" s="126" t="n"/>
      <c r="AU68" s="126" t="n"/>
      <c r="AV68" s="126" t="n"/>
      <c r="AW68" s="126" t="n"/>
      <c r="AX68" s="126" t="n"/>
      <c r="AY68" s="126" t="n"/>
      <c r="AZ68" s="126" t="n"/>
      <c r="BA68" s="126" t="n"/>
      <c r="BB68" s="126" t="n"/>
      <c r="BC68" s="126" t="n"/>
      <c r="BD68" s="126" t="n"/>
      <c r="BE68" s="126" t="n"/>
      <c r="BF68" s="126" t="n"/>
      <c r="BG68" s="126" t="n"/>
    </row>
    <row r="69" ht="21.95" customFormat="1" customHeight="1" s="106">
      <c r="A69" s="114" t="n"/>
      <c r="B69" s="583" t="inlineStr">
        <is>
          <t xml:space="preserve"> - น2 - หน้าต่างบานเปิด3บานปรับมุมพร้อมอุปกรณ์ขนาด 1.70 x 1.15 ม.</t>
        </is>
      </c>
      <c r="C69" s="580" t="n"/>
      <c r="D69" s="581" t="inlineStr">
        <is>
          <t>ชุด</t>
        </is>
      </c>
      <c r="E69" s="582" t="n"/>
      <c r="F69" s="582">
        <f>C69*E69</f>
        <v/>
      </c>
      <c r="G69" s="589" t="n"/>
      <c r="H69" s="589">
        <f>C69*G69</f>
        <v/>
      </c>
      <c r="I69" s="582">
        <f>F69+H69</f>
        <v/>
      </c>
      <c r="J69" s="100" t="n"/>
      <c r="K69" s="153" t="n"/>
      <c r="L69" s="577" t="n"/>
      <c r="M69" s="578" t="n"/>
      <c r="N69" s="104" t="n"/>
      <c r="O69" s="104" t="n"/>
      <c r="P69" s="104" t="n"/>
      <c r="Q69" s="101" t="n"/>
      <c r="R69" s="101" t="n"/>
      <c r="S69" s="126" t="n"/>
      <c r="T69" s="126" t="n"/>
      <c r="U69" s="126" t="n"/>
      <c r="V69" s="126" t="n"/>
      <c r="W69" s="126" t="n"/>
      <c r="X69" s="126" t="n"/>
      <c r="Y69" s="126" t="n"/>
      <c r="Z69" s="126" t="n"/>
      <c r="AA69" s="126" t="n"/>
      <c r="AB69" s="126" t="n"/>
      <c r="AC69" s="126" t="n"/>
      <c r="AD69" s="126" t="n"/>
      <c r="AE69" s="126" t="n"/>
      <c r="AF69" s="126" t="n"/>
      <c r="AG69" s="126" t="n"/>
      <c r="AH69" s="126" t="n"/>
      <c r="AI69" s="126" t="n"/>
      <c r="AJ69" s="126" t="n"/>
      <c r="AK69" s="126" t="n"/>
      <c r="AL69" s="126" t="n"/>
      <c r="AM69" s="126" t="n"/>
      <c r="AN69" s="126" t="n"/>
      <c r="AO69" s="126" t="n"/>
      <c r="AP69" s="126" t="n"/>
      <c r="AQ69" s="126" t="n"/>
      <c r="AR69" s="126" t="n"/>
      <c r="AS69" s="126" t="n"/>
      <c r="AT69" s="126" t="n"/>
      <c r="AU69" s="126" t="n"/>
      <c r="AV69" s="126" t="n"/>
      <c r="AW69" s="126" t="n"/>
      <c r="AX69" s="126" t="n"/>
      <c r="AY69" s="126" t="n"/>
      <c r="AZ69" s="126" t="n"/>
      <c r="BA69" s="126" t="n"/>
      <c r="BB69" s="126" t="n"/>
      <c r="BC69" s="126" t="n"/>
      <c r="BD69" s="126" t="n"/>
      <c r="BE69" s="126" t="n"/>
      <c r="BF69" s="126" t="n"/>
      <c r="BG69" s="126" t="n"/>
    </row>
    <row r="70" ht="21.95" customFormat="1" customHeight="1" s="106">
      <c r="A70" s="114" t="n"/>
      <c r="B70" s="583" t="inlineStr">
        <is>
          <t xml:space="preserve"> - น3 - หน้าต่างบานเปิด6บานปรับมุม/ช่องแสงกระจกขนาด3.30 x 1.15 ม.</t>
        </is>
      </c>
      <c r="C70" s="580" t="n"/>
      <c r="D70" s="581" t="inlineStr">
        <is>
          <t>ชุด</t>
        </is>
      </c>
      <c r="E70" s="582" t="n"/>
      <c r="F70" s="582">
        <f>C70*E70</f>
        <v/>
      </c>
      <c r="G70" s="589" t="n"/>
      <c r="H70" s="589">
        <f>C70*G70</f>
        <v/>
      </c>
      <c r="I70" s="582">
        <f>F70+H70</f>
        <v/>
      </c>
      <c r="J70" s="100" t="n"/>
      <c r="K70" s="153" t="n"/>
      <c r="L70" s="577" t="n"/>
      <c r="M70" s="578" t="n"/>
      <c r="N70" s="104" t="n"/>
      <c r="O70" s="104" t="n"/>
      <c r="P70" s="104" t="n"/>
      <c r="Q70" s="101" t="n"/>
      <c r="R70" s="101" t="n"/>
      <c r="S70" s="126" t="n"/>
      <c r="T70" s="126" t="n"/>
      <c r="U70" s="126" t="n"/>
      <c r="V70" s="126" t="n"/>
      <c r="W70" s="126" t="n"/>
      <c r="X70" s="126" t="n"/>
      <c r="Y70" s="126" t="n"/>
      <c r="Z70" s="126" t="n"/>
      <c r="AA70" s="126" t="n"/>
      <c r="AB70" s="126" t="n"/>
      <c r="AC70" s="126" t="n"/>
      <c r="AD70" s="126" t="n"/>
      <c r="AE70" s="126" t="n"/>
      <c r="AF70" s="126" t="n"/>
      <c r="AG70" s="126" t="n"/>
      <c r="AH70" s="126" t="n"/>
      <c r="AI70" s="126" t="n"/>
      <c r="AJ70" s="126" t="n"/>
      <c r="AK70" s="126" t="n"/>
      <c r="AL70" s="126" t="n"/>
      <c r="AM70" s="126" t="n"/>
      <c r="AN70" s="126" t="n"/>
      <c r="AO70" s="126" t="n"/>
      <c r="AP70" s="126" t="n"/>
      <c r="AQ70" s="126" t="n"/>
      <c r="AR70" s="126" t="n"/>
      <c r="AS70" s="126" t="n"/>
      <c r="AT70" s="126" t="n"/>
      <c r="AU70" s="126" t="n"/>
      <c r="AV70" s="126" t="n"/>
      <c r="AW70" s="126" t="n"/>
      <c r="AX70" s="126" t="n"/>
      <c r="AY70" s="126" t="n"/>
      <c r="AZ70" s="126" t="n"/>
      <c r="BA70" s="126" t="n"/>
      <c r="BB70" s="126" t="n"/>
      <c r="BC70" s="126" t="n"/>
      <c r="BD70" s="126" t="n"/>
      <c r="BE70" s="126" t="n"/>
      <c r="BF70" s="126" t="n"/>
      <c r="BG70" s="126" t="n"/>
    </row>
    <row r="71" ht="21.95" customFormat="1" customHeight="1" s="106">
      <c r="A71" s="114" t="n"/>
      <c r="B71" s="583" t="inlineStr">
        <is>
          <t xml:space="preserve"> - W1 - หน้าต่างบานกระทุ้ง 1 บานพร้อมอุปกรณ์ขนาด 0.60 x 0.60 ม.</t>
        </is>
      </c>
      <c r="C71" s="580" t="n"/>
      <c r="D71" s="581" t="inlineStr">
        <is>
          <t>ชุด</t>
        </is>
      </c>
      <c r="E71" s="582" t="n"/>
      <c r="F71" s="582">
        <f>C71*E71</f>
        <v/>
      </c>
      <c r="G71" s="589" t="n"/>
      <c r="H71" s="589">
        <f>C71*G71</f>
        <v/>
      </c>
      <c r="I71" s="582">
        <f>F71+H71</f>
        <v/>
      </c>
      <c r="J71" s="100" t="n"/>
      <c r="K71" s="153" t="n"/>
      <c r="L71" s="577" t="n"/>
      <c r="M71" s="578" t="n"/>
      <c r="N71" s="104" t="n"/>
      <c r="O71" s="104" t="n"/>
      <c r="P71" s="104" t="n"/>
      <c r="Q71" s="101" t="n"/>
      <c r="R71" s="101" t="n"/>
      <c r="S71" s="126" t="n"/>
      <c r="T71" s="126" t="n"/>
      <c r="U71" s="126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  <c r="AF71" s="126" t="n"/>
      <c r="AG71" s="126" t="n"/>
      <c r="AH71" s="126" t="n"/>
      <c r="AI71" s="126" t="n"/>
      <c r="AJ71" s="126" t="n"/>
      <c r="AK71" s="126" t="n"/>
      <c r="AL71" s="126" t="n"/>
      <c r="AM71" s="126" t="n"/>
      <c r="AN71" s="126" t="n"/>
      <c r="AO71" s="126" t="n"/>
      <c r="AP71" s="126" t="n"/>
      <c r="AQ71" s="126" t="n"/>
      <c r="AR71" s="126" t="n"/>
      <c r="AS71" s="126" t="n"/>
      <c r="AT71" s="126" t="n"/>
      <c r="AU71" s="126" t="n"/>
      <c r="AV71" s="126" t="n"/>
      <c r="AW71" s="126" t="n"/>
      <c r="AX71" s="126" t="n"/>
      <c r="AY71" s="126" t="n"/>
      <c r="AZ71" s="126" t="n"/>
      <c r="BA71" s="126" t="n"/>
      <c r="BB71" s="126" t="n"/>
      <c r="BC71" s="126" t="n"/>
      <c r="BD71" s="126" t="n"/>
      <c r="BE71" s="126" t="n"/>
      <c r="BF71" s="126" t="n"/>
      <c r="BG71" s="126" t="n"/>
    </row>
    <row r="72" ht="21.95" customFormat="1" customHeight="1" s="106">
      <c r="A72" s="114" t="n"/>
      <c r="B72" s="583" t="inlineStr">
        <is>
          <t xml:space="preserve"> - W2 - หน้าต่างบานกระทุ้ง 2 บานพร้อมอุปกรณ์ขนาด 1.20 x 0.60 ม.</t>
        </is>
      </c>
      <c r="C72" s="580" t="n"/>
      <c r="D72" s="581" t="inlineStr">
        <is>
          <t>ชุด</t>
        </is>
      </c>
      <c r="E72" s="582" t="n"/>
      <c r="F72" s="582">
        <f>C72*E72</f>
        <v/>
      </c>
      <c r="G72" s="589" t="n"/>
      <c r="H72" s="589">
        <f>C72*G72</f>
        <v/>
      </c>
      <c r="I72" s="582">
        <f>F72+H72</f>
        <v/>
      </c>
      <c r="J72" s="100" t="n"/>
      <c r="K72" s="153" t="n"/>
      <c r="L72" s="577" t="n"/>
      <c r="M72" s="578" t="n"/>
      <c r="N72" s="104" t="n"/>
      <c r="O72" s="104" t="n"/>
      <c r="P72" s="104" t="n"/>
      <c r="Q72" s="101" t="n"/>
      <c r="R72" s="101" t="n"/>
      <c r="S72" s="126" t="n"/>
      <c r="T72" s="126" t="n"/>
      <c r="U72" s="126" t="n"/>
      <c r="V72" s="126" t="n"/>
      <c r="W72" s="126" t="n"/>
      <c r="X72" s="126" t="n"/>
      <c r="Y72" s="126" t="n"/>
      <c r="Z72" s="126" t="n"/>
      <c r="AA72" s="126" t="n"/>
      <c r="AB72" s="126" t="n"/>
      <c r="AC72" s="126" t="n"/>
      <c r="AD72" s="126" t="n"/>
      <c r="AE72" s="126" t="n"/>
      <c r="AF72" s="126" t="n"/>
      <c r="AG72" s="126" t="n"/>
      <c r="AH72" s="126" t="n"/>
      <c r="AI72" s="126" t="n"/>
      <c r="AJ72" s="126" t="n"/>
      <c r="AK72" s="126" t="n"/>
      <c r="AL72" s="126" t="n"/>
      <c r="AM72" s="126" t="n"/>
      <c r="AN72" s="126" t="n"/>
      <c r="AO72" s="126" t="n"/>
      <c r="AP72" s="126" t="n"/>
      <c r="AQ72" s="126" t="n"/>
      <c r="AR72" s="126" t="n"/>
      <c r="AS72" s="126" t="n"/>
      <c r="AT72" s="126" t="n"/>
      <c r="AU72" s="126" t="n"/>
      <c r="AV72" s="126" t="n"/>
      <c r="AW72" s="126" t="n"/>
      <c r="AX72" s="126" t="n"/>
      <c r="AY72" s="126" t="n"/>
      <c r="AZ72" s="126" t="n"/>
      <c r="BA72" s="126" t="n"/>
      <c r="BB72" s="126" t="n"/>
      <c r="BC72" s="126" t="n"/>
      <c r="BD72" s="126" t="n"/>
      <c r="BE72" s="126" t="n"/>
      <c r="BF72" s="126" t="n"/>
      <c r="BG72" s="126" t="n"/>
    </row>
    <row r="73" ht="21.95" customFormat="1" customHeight="1" s="106">
      <c r="A73" s="114" t="n"/>
      <c r="B73" s="583" t="inlineStr">
        <is>
          <t xml:space="preserve"> - W3 - หน้าต่างบานกระทุ้ง 3 บานพร้อมอุปกรณ์ขนาด 1.80 x 0.60 ม.</t>
        </is>
      </c>
      <c r="C73" s="580" t="n"/>
      <c r="D73" s="581" t="inlineStr">
        <is>
          <t>ชุด</t>
        </is>
      </c>
      <c r="E73" s="582" t="n"/>
      <c r="F73" s="582">
        <f>C73*E73</f>
        <v/>
      </c>
      <c r="G73" s="589" t="n"/>
      <c r="H73" s="589">
        <f>C73*G73</f>
        <v/>
      </c>
      <c r="I73" s="582">
        <f>F73+H73</f>
        <v/>
      </c>
      <c r="J73" s="100" t="n"/>
      <c r="K73" s="153" t="n"/>
      <c r="L73" s="577" t="n"/>
      <c r="M73" s="578" t="n"/>
      <c r="N73" s="104" t="n"/>
      <c r="O73" s="104" t="n"/>
      <c r="P73" s="104" t="n"/>
      <c r="Q73" s="101" t="n"/>
      <c r="R73" s="101" t="n"/>
      <c r="S73" s="126" t="n"/>
      <c r="T73" s="126" t="n"/>
      <c r="U73" s="126" t="n"/>
      <c r="V73" s="126" t="n"/>
      <c r="W73" s="126" t="n"/>
      <c r="X73" s="126" t="n"/>
      <c r="Y73" s="126" t="n"/>
      <c r="Z73" s="126" t="n"/>
      <c r="AA73" s="126" t="n"/>
      <c r="AB73" s="126" t="n"/>
      <c r="AC73" s="126" t="n"/>
      <c r="AD73" s="126" t="n"/>
      <c r="AE73" s="126" t="n"/>
      <c r="AF73" s="126" t="n"/>
      <c r="AG73" s="126" t="n"/>
      <c r="AH73" s="126" t="n"/>
      <c r="AI73" s="126" t="n"/>
      <c r="AJ73" s="126" t="n"/>
      <c r="AK73" s="126" t="n"/>
      <c r="AL73" s="126" t="n"/>
      <c r="AM73" s="126" t="n"/>
      <c r="AN73" s="126" t="n"/>
      <c r="AO73" s="126" t="n"/>
      <c r="AP73" s="126" t="n"/>
      <c r="AQ73" s="126" t="n"/>
      <c r="AR73" s="126" t="n"/>
      <c r="AS73" s="126" t="n"/>
      <c r="AT73" s="126" t="n"/>
      <c r="AU73" s="126" t="n"/>
      <c r="AV73" s="126" t="n"/>
      <c r="AW73" s="126" t="n"/>
      <c r="AX73" s="126" t="n"/>
      <c r="AY73" s="126" t="n"/>
      <c r="AZ73" s="126" t="n"/>
      <c r="BA73" s="126" t="n"/>
      <c r="BB73" s="126" t="n"/>
      <c r="BC73" s="126" t="n"/>
      <c r="BD73" s="126" t="n"/>
      <c r="BE73" s="126" t="n"/>
      <c r="BF73" s="126" t="n"/>
      <c r="BG73" s="126" t="n"/>
    </row>
    <row r="74" ht="21.95" customFormat="1" customHeight="1" s="106">
      <c r="A74" s="114" t="n"/>
      <c r="B74" s="583" t="inlineStr">
        <is>
          <t xml:space="preserve"> -  AL1 - หน้าต่างบานเลื่อนคู่พร้อมช่องกระจกติดตายขนาด2.80x2.40 ม.</t>
        </is>
      </c>
      <c r="C74" s="580" t="n"/>
      <c r="D74" s="581" t="inlineStr">
        <is>
          <t>ชุด</t>
        </is>
      </c>
      <c r="E74" s="582" t="n"/>
      <c r="F74" s="582">
        <f>C74*E74</f>
        <v/>
      </c>
      <c r="G74" s="589" t="n"/>
      <c r="H74" s="589">
        <f>C74*G74</f>
        <v/>
      </c>
      <c r="I74" s="582">
        <f>F74+H74</f>
        <v/>
      </c>
      <c r="J74" s="100" t="n"/>
      <c r="K74" s="153" t="n"/>
      <c r="L74" s="577" t="n"/>
      <c r="M74" s="578" t="n"/>
      <c r="N74" s="104" t="n"/>
      <c r="O74" s="104" t="n"/>
      <c r="P74" s="104" t="n"/>
      <c r="Q74" s="101" t="n"/>
      <c r="R74" s="101" t="n"/>
      <c r="S74" s="126" t="n"/>
      <c r="T74" s="126" t="n"/>
      <c r="U74" s="126" t="n"/>
      <c r="V74" s="126" t="n"/>
      <c r="W74" s="126" t="n"/>
      <c r="X74" s="126" t="n"/>
      <c r="Y74" s="126" t="n"/>
      <c r="Z74" s="126" t="n"/>
      <c r="AA74" s="126" t="n"/>
      <c r="AB74" s="126" t="n"/>
      <c r="AC74" s="126" t="n"/>
      <c r="AD74" s="126" t="n"/>
      <c r="AE74" s="126" t="n"/>
      <c r="AF74" s="126" t="n"/>
      <c r="AG74" s="126" t="n"/>
      <c r="AH74" s="126" t="n"/>
      <c r="AI74" s="126" t="n"/>
      <c r="AJ74" s="126" t="n"/>
      <c r="AK74" s="126" t="n"/>
      <c r="AL74" s="126" t="n"/>
      <c r="AM74" s="126" t="n"/>
      <c r="AN74" s="126" t="n"/>
      <c r="AO74" s="126" t="n"/>
      <c r="AP74" s="126" t="n"/>
      <c r="AQ74" s="126" t="n"/>
      <c r="AR74" s="126" t="n"/>
      <c r="AS74" s="126" t="n"/>
      <c r="AT74" s="126" t="n"/>
      <c r="AU74" s="126" t="n"/>
      <c r="AV74" s="126" t="n"/>
      <c r="AW74" s="126" t="n"/>
      <c r="AX74" s="126" t="n"/>
      <c r="AY74" s="126" t="n"/>
      <c r="AZ74" s="126" t="n"/>
      <c r="BA74" s="126" t="n"/>
      <c r="BB74" s="126" t="n"/>
      <c r="BC74" s="126" t="n"/>
      <c r="BD74" s="126" t="n"/>
      <c r="BE74" s="126" t="n"/>
      <c r="BF74" s="126" t="n"/>
      <c r="BG74" s="126" t="n"/>
    </row>
    <row r="75" ht="21.95" customFormat="1" customHeight="1" s="106">
      <c r="A75" s="114" t="n"/>
      <c r="B75" s="583" t="inlineStr">
        <is>
          <t xml:space="preserve"> - AL2 - หน้าต่างกระทุ้งเดี่ยวพร้อมช่องกระจกติดตายขนาด0.60x1.95 ม.</t>
        </is>
      </c>
      <c r="C75" s="580" t="n"/>
      <c r="D75" s="581" t="inlineStr">
        <is>
          <t>ชุด</t>
        </is>
      </c>
      <c r="E75" s="582" t="n"/>
      <c r="F75" s="582">
        <f>C75*E75</f>
        <v/>
      </c>
      <c r="G75" s="589" t="n"/>
      <c r="H75" s="589">
        <f>C75*G75</f>
        <v/>
      </c>
      <c r="I75" s="582">
        <f>F75+H75</f>
        <v/>
      </c>
      <c r="J75" s="100" t="n"/>
      <c r="K75" s="153" t="n"/>
      <c r="L75" s="577" t="n"/>
      <c r="M75" s="578" t="n"/>
      <c r="N75" s="104" t="n"/>
      <c r="O75" s="104" t="n"/>
      <c r="P75" s="104" t="n"/>
      <c r="Q75" s="101" t="n"/>
      <c r="R75" s="101" t="n"/>
      <c r="S75" s="126" t="n"/>
      <c r="T75" s="126" t="n"/>
      <c r="U75" s="126" t="n"/>
      <c r="V75" s="126" t="n"/>
      <c r="W75" s="126" t="n"/>
      <c r="X75" s="126" t="n"/>
      <c r="Y75" s="126" t="n"/>
      <c r="Z75" s="126" t="n"/>
      <c r="AA75" s="126" t="n"/>
      <c r="AB75" s="126" t="n"/>
      <c r="AC75" s="126" t="n"/>
      <c r="AD75" s="126" t="n"/>
      <c r="AE75" s="126" t="n"/>
      <c r="AF75" s="126" t="n"/>
      <c r="AG75" s="126" t="n"/>
      <c r="AH75" s="126" t="n"/>
      <c r="AI75" s="126" t="n"/>
      <c r="AJ75" s="126" t="n"/>
      <c r="AK75" s="126" t="n"/>
      <c r="AL75" s="126" t="n"/>
      <c r="AM75" s="126" t="n"/>
      <c r="AN75" s="126" t="n"/>
      <c r="AO75" s="126" t="n"/>
      <c r="AP75" s="126" t="n"/>
      <c r="AQ75" s="126" t="n"/>
      <c r="AR75" s="126" t="n"/>
      <c r="AS75" s="126" t="n"/>
      <c r="AT75" s="126" t="n"/>
      <c r="AU75" s="126" t="n"/>
      <c r="AV75" s="126" t="n"/>
      <c r="AW75" s="126" t="n"/>
      <c r="AX75" s="126" t="n"/>
      <c r="AY75" s="126" t="n"/>
      <c r="AZ75" s="126" t="n"/>
      <c r="BA75" s="126" t="n"/>
      <c r="BB75" s="126" t="n"/>
      <c r="BC75" s="126" t="n"/>
      <c r="BD75" s="126" t="n"/>
      <c r="BE75" s="126" t="n"/>
      <c r="BF75" s="126" t="n"/>
      <c r="BG75" s="126" t="n"/>
    </row>
    <row r="76" ht="21.95" customFormat="1" customHeight="1" s="106">
      <c r="A76" s="114" t="n"/>
      <c r="B76" s="583" t="inlineStr">
        <is>
          <t xml:space="preserve"> - AL3 - หน้าต่างกระทุ้งคู่พร้อมช่องกระจกติดตายขนาด 0.60x 2.65 ม.</t>
        </is>
      </c>
      <c r="C76" s="580" t="n"/>
      <c r="D76" s="581" t="inlineStr">
        <is>
          <t>ชุด</t>
        </is>
      </c>
      <c r="E76" s="582" t="n"/>
      <c r="F76" s="582">
        <f>C76*E76</f>
        <v/>
      </c>
      <c r="G76" s="589" t="n"/>
      <c r="H76" s="589">
        <f>C76*G76</f>
        <v/>
      </c>
      <c r="I76" s="582">
        <f>F76+H76</f>
        <v/>
      </c>
      <c r="J76" s="100" t="n"/>
      <c r="K76" s="153" t="n"/>
      <c r="L76" s="577" t="n"/>
      <c r="M76" s="578" t="n"/>
      <c r="N76" s="104" t="n"/>
      <c r="O76" s="104" t="n"/>
      <c r="P76" s="104" t="n"/>
      <c r="Q76" s="101" t="n"/>
      <c r="R76" s="101" t="n"/>
      <c r="S76" s="126" t="n"/>
      <c r="T76" s="126" t="n"/>
      <c r="U76" s="126" t="n"/>
      <c r="V76" s="126" t="n"/>
      <c r="W76" s="126" t="n"/>
      <c r="X76" s="126" t="n"/>
      <c r="Y76" s="126" t="n"/>
      <c r="Z76" s="126" t="n"/>
      <c r="AA76" s="126" t="n"/>
      <c r="AB76" s="126" t="n"/>
      <c r="AC76" s="126" t="n"/>
      <c r="AD76" s="126" t="n"/>
      <c r="AE76" s="126" t="n"/>
      <c r="AF76" s="126" t="n"/>
      <c r="AG76" s="126" t="n"/>
      <c r="AH76" s="126" t="n"/>
      <c r="AI76" s="126" t="n"/>
      <c r="AJ76" s="126" t="n"/>
      <c r="AK76" s="126" t="n"/>
      <c r="AL76" s="126" t="n"/>
      <c r="AM76" s="126" t="n"/>
      <c r="AN76" s="126" t="n"/>
      <c r="AO76" s="126" t="n"/>
      <c r="AP76" s="126" t="n"/>
      <c r="AQ76" s="126" t="n"/>
      <c r="AR76" s="126" t="n"/>
      <c r="AS76" s="126" t="n"/>
      <c r="AT76" s="126" t="n"/>
      <c r="AU76" s="126" t="n"/>
      <c r="AV76" s="126" t="n"/>
      <c r="AW76" s="126" t="n"/>
      <c r="AX76" s="126" t="n"/>
      <c r="AY76" s="126" t="n"/>
      <c r="AZ76" s="126" t="n"/>
      <c r="BA76" s="126" t="n"/>
      <c r="BB76" s="126" t="n"/>
      <c r="BC76" s="126" t="n"/>
      <c r="BD76" s="126" t="n"/>
      <c r="BE76" s="126" t="n"/>
      <c r="BF76" s="126" t="n"/>
      <c r="BG76" s="126" t="n"/>
    </row>
    <row r="77" ht="21.95" customFormat="1" customHeight="1" s="106">
      <c r="A77" s="114" t="n"/>
      <c r="B77" s="583" t="inlineStr">
        <is>
          <t xml:space="preserve"> - AL4 - หน้าต่างช่องระบายอากาศเกล็ดอลูมิเนียมขนาด 0.60x 1.40 ม.</t>
        </is>
      </c>
      <c r="C77" s="580" t="n"/>
      <c r="D77" s="581" t="inlineStr">
        <is>
          <t>ชุด</t>
        </is>
      </c>
      <c r="E77" s="582" t="n"/>
      <c r="F77" s="582">
        <f>C77*E77</f>
        <v/>
      </c>
      <c r="G77" s="589" t="n"/>
      <c r="H77" s="589">
        <f>C77*G77</f>
        <v/>
      </c>
      <c r="I77" s="582">
        <f>F77+H77</f>
        <v/>
      </c>
      <c r="J77" s="595" t="n"/>
      <c r="K77" s="153" t="n"/>
      <c r="L77" s="577" t="n"/>
      <c r="M77" s="578" t="n"/>
      <c r="N77" s="104" t="n"/>
      <c r="O77" s="104" t="n"/>
      <c r="P77" s="104" t="n"/>
      <c r="Q77" s="101" t="n"/>
      <c r="R77" s="101" t="n"/>
      <c r="S77" s="126" t="n"/>
      <c r="T77" s="126" t="n"/>
      <c r="U77" s="126" t="n"/>
      <c r="V77" s="126" t="n"/>
      <c r="W77" s="126" t="n"/>
      <c r="X77" s="126" t="n"/>
      <c r="Y77" s="126" t="n"/>
      <c r="Z77" s="126" t="n"/>
      <c r="AA77" s="126" t="n"/>
      <c r="AB77" s="126" t="n"/>
      <c r="AC77" s="126" t="n"/>
      <c r="AD77" s="126" t="n"/>
      <c r="AE77" s="126" t="n"/>
      <c r="AF77" s="126" t="n"/>
      <c r="AG77" s="126" t="n"/>
      <c r="AH77" s="126" t="n"/>
      <c r="AI77" s="126" t="n"/>
      <c r="AJ77" s="126" t="n"/>
      <c r="AK77" s="126" t="n"/>
      <c r="AL77" s="126" t="n"/>
      <c r="AM77" s="126" t="n"/>
      <c r="AN77" s="126" t="n"/>
      <c r="AO77" s="126" t="n"/>
      <c r="AP77" s="126" t="n"/>
      <c r="AQ77" s="126" t="n"/>
      <c r="AR77" s="126" t="n"/>
      <c r="AS77" s="126" t="n"/>
      <c r="AT77" s="126" t="n"/>
      <c r="AU77" s="126" t="n"/>
      <c r="AV77" s="126" t="n"/>
      <c r="AW77" s="126" t="n"/>
      <c r="AX77" s="126" t="n"/>
      <c r="AY77" s="126" t="n"/>
      <c r="AZ77" s="126" t="n"/>
      <c r="BA77" s="126" t="n"/>
      <c r="BB77" s="126" t="n"/>
      <c r="BC77" s="126" t="n"/>
      <c r="BD77" s="126" t="n"/>
      <c r="BE77" s="126" t="n"/>
      <c r="BF77" s="126" t="n"/>
      <c r="BG77" s="126" t="n"/>
    </row>
    <row r="78" ht="21.95" customFormat="1" customHeight="1" s="106">
      <c r="A78" s="114" t="n"/>
      <c r="B78" s="583" t="inlineStr">
        <is>
          <t xml:space="preserve"> - บัวปูนปั้นสำเร็จรูปขนาด 2" x 4"รอบหน้าต่าง </t>
        </is>
      </c>
      <c r="C78" s="580" t="n"/>
      <c r="D78" s="122" t="inlineStr">
        <is>
          <t>เมตร</t>
        </is>
      </c>
      <c r="E78" s="582" t="n"/>
      <c r="F78" s="582">
        <f>C78*E78</f>
        <v/>
      </c>
      <c r="G78" s="589" t="n"/>
      <c r="H78" s="589">
        <f>C78*G78</f>
        <v/>
      </c>
      <c r="I78" s="582">
        <f>F78+H78</f>
        <v/>
      </c>
      <c r="J78" s="595" t="n"/>
      <c r="K78" s="153" t="n"/>
      <c r="L78" s="577" t="n"/>
      <c r="M78" s="578" t="n"/>
      <c r="N78" s="104" t="n"/>
      <c r="O78" s="104" t="n"/>
      <c r="P78" s="104" t="n"/>
      <c r="Q78" s="101" t="n"/>
      <c r="R78" s="101" t="n"/>
      <c r="S78" s="126" t="n"/>
      <c r="T78" s="126" t="n"/>
      <c r="U78" s="126" t="n"/>
      <c r="V78" s="126" t="n"/>
      <c r="W78" s="126" t="n"/>
      <c r="X78" s="126" t="n"/>
      <c r="Y78" s="126" t="n"/>
      <c r="Z78" s="126" t="n"/>
      <c r="AA78" s="126" t="n"/>
      <c r="AB78" s="126" t="n"/>
      <c r="AC78" s="126" t="n"/>
      <c r="AD78" s="126" t="n"/>
      <c r="AE78" s="126" t="n"/>
      <c r="AF78" s="126" t="n"/>
      <c r="AG78" s="126" t="n"/>
      <c r="AH78" s="126" t="n"/>
      <c r="AI78" s="126" t="n"/>
      <c r="AJ78" s="126" t="n"/>
      <c r="AK78" s="126" t="n"/>
      <c r="AL78" s="126" t="n"/>
      <c r="AM78" s="126" t="n"/>
      <c r="AN78" s="126" t="n"/>
      <c r="AO78" s="126" t="n"/>
      <c r="AP78" s="126" t="n"/>
      <c r="AQ78" s="126" t="n"/>
      <c r="AR78" s="126" t="n"/>
      <c r="AS78" s="126" t="n"/>
      <c r="AT78" s="126" t="n"/>
      <c r="AU78" s="126" t="n"/>
      <c r="AV78" s="126" t="n"/>
      <c r="AW78" s="126" t="n"/>
      <c r="AX78" s="126" t="n"/>
      <c r="AY78" s="126" t="n"/>
      <c r="AZ78" s="126" t="n"/>
      <c r="BA78" s="126" t="n"/>
      <c r="BB78" s="126" t="n"/>
      <c r="BC78" s="126" t="n"/>
      <c r="BD78" s="126" t="n"/>
      <c r="BE78" s="126" t="n"/>
      <c r="BF78" s="126" t="n"/>
      <c r="BG78" s="126" t="n"/>
    </row>
    <row r="79" ht="21.95" customFormat="1" customHeight="1" s="106">
      <c r="A79" s="114" t="n"/>
      <c r="B79" s="583" t="inlineStr">
        <is>
          <t xml:space="preserve"> - บัวปูนปั้นสำเร็จรูปขนาด 4" x 16"แต่งบนหน้าต่าง AL1 </t>
        </is>
      </c>
      <c r="C79" s="580" t="n"/>
      <c r="D79" s="122" t="inlineStr">
        <is>
          <t>เมตร</t>
        </is>
      </c>
      <c r="E79" s="582" t="n"/>
      <c r="F79" s="582">
        <f>C79*E79</f>
        <v/>
      </c>
      <c r="G79" s="589" t="n"/>
      <c r="H79" s="589">
        <f>C79*G79</f>
        <v/>
      </c>
      <c r="I79" s="582">
        <f>F79+H79</f>
        <v/>
      </c>
      <c r="J79" s="595" t="n"/>
      <c r="K79" s="153" t="n"/>
      <c r="L79" s="577" t="n"/>
      <c r="M79" s="578" t="n"/>
      <c r="N79" s="104" t="n"/>
      <c r="O79" s="104" t="n"/>
      <c r="P79" s="104" t="n"/>
      <c r="Q79" s="101" t="n"/>
      <c r="R79" s="101" t="n"/>
      <c r="S79" s="126" t="n"/>
      <c r="T79" s="126" t="n"/>
      <c r="U79" s="126" t="n"/>
      <c r="V79" s="126" t="n"/>
      <c r="W79" s="126" t="n"/>
      <c r="X79" s="126" t="n"/>
      <c r="Y79" s="126" t="n"/>
      <c r="Z79" s="126" t="n"/>
      <c r="AA79" s="126" t="n"/>
      <c r="AB79" s="126" t="n"/>
      <c r="AC79" s="126" t="n"/>
      <c r="AD79" s="126" t="n"/>
      <c r="AE79" s="126" t="n"/>
      <c r="AF79" s="126" t="n"/>
      <c r="AG79" s="126" t="n"/>
      <c r="AH79" s="126" t="n"/>
      <c r="AI79" s="126" t="n"/>
      <c r="AJ79" s="126" t="n"/>
      <c r="AK79" s="126" t="n"/>
      <c r="AL79" s="126" t="n"/>
      <c r="AM79" s="126" t="n"/>
      <c r="AN79" s="126" t="n"/>
      <c r="AO79" s="126" t="n"/>
      <c r="AP79" s="126" t="n"/>
      <c r="AQ79" s="126" t="n"/>
      <c r="AR79" s="126" t="n"/>
      <c r="AS79" s="126" t="n"/>
      <c r="AT79" s="126" t="n"/>
      <c r="AU79" s="126" t="n"/>
      <c r="AV79" s="126" t="n"/>
      <c r="AW79" s="126" t="n"/>
      <c r="AX79" s="126" t="n"/>
      <c r="AY79" s="126" t="n"/>
      <c r="AZ79" s="126" t="n"/>
      <c r="BA79" s="126" t="n"/>
      <c r="BB79" s="126" t="n"/>
      <c r="BC79" s="126" t="n"/>
      <c r="BD79" s="126" t="n"/>
      <c r="BE79" s="126" t="n"/>
      <c r="BF79" s="126" t="n"/>
      <c r="BG79" s="126" t="n"/>
    </row>
    <row r="80" ht="21.6" customFormat="1" customHeight="1" s="106">
      <c r="A80" s="107" t="n">
        <v>3.4</v>
      </c>
      <c r="B80" s="579" t="inlineStr">
        <is>
          <t>งานทาสี</t>
        </is>
      </c>
      <c r="C80" s="580" t="n"/>
      <c r="D80" s="581" t="n"/>
      <c r="E80" s="582" t="n"/>
      <c r="F80" s="582">
        <f>C80*E80</f>
        <v/>
      </c>
      <c r="G80" s="582" t="n"/>
      <c r="H80" s="582">
        <f>C80*G80</f>
        <v/>
      </c>
      <c r="I80" s="582">
        <f>F80+H80</f>
        <v/>
      </c>
      <c r="J80" s="100" t="n"/>
      <c r="K80" s="153" t="n"/>
      <c r="L80" s="577" t="n"/>
      <c r="M80" s="578" t="n"/>
      <c r="N80" s="104" t="n"/>
      <c r="O80" s="104" t="n"/>
      <c r="P80" s="104" t="n"/>
      <c r="Q80" s="101" t="n"/>
      <c r="R80" s="101" t="n"/>
      <c r="S80" s="126" t="n"/>
      <c r="T80" s="126" t="n"/>
      <c r="U80" s="126" t="n"/>
      <c r="V80" s="126" t="n"/>
      <c r="W80" s="126" t="n"/>
      <c r="X80" s="126" t="n"/>
      <c r="Y80" s="126" t="n"/>
      <c r="Z80" s="126" t="n"/>
      <c r="AA80" s="126" t="n"/>
      <c r="AB80" s="126" t="n"/>
      <c r="AC80" s="126" t="n"/>
      <c r="AD80" s="126" t="n"/>
      <c r="AE80" s="126" t="n"/>
      <c r="AF80" s="126" t="n"/>
      <c r="AG80" s="126" t="n"/>
      <c r="AH80" s="126" t="n"/>
      <c r="AI80" s="126" t="n"/>
      <c r="AJ80" s="126" t="n"/>
      <c r="AK80" s="126" t="n"/>
      <c r="AL80" s="126" t="n"/>
      <c r="AM80" s="126" t="n"/>
      <c r="AN80" s="126" t="n"/>
      <c r="AO80" s="126" t="n"/>
      <c r="AP80" s="126" t="n"/>
      <c r="AQ80" s="126" t="n"/>
      <c r="AR80" s="126" t="n"/>
      <c r="AS80" s="126" t="n"/>
      <c r="AT80" s="126" t="n"/>
      <c r="AU80" s="126" t="n"/>
      <c r="AV80" s="126" t="n"/>
      <c r="AW80" s="126" t="n"/>
      <c r="AX80" s="126" t="n"/>
      <c r="AY80" s="126" t="n"/>
      <c r="AZ80" s="126" t="n"/>
      <c r="BA80" s="126" t="n"/>
      <c r="BB80" s="126" t="n"/>
      <c r="BC80" s="126" t="n"/>
      <c r="BD80" s="126" t="n"/>
      <c r="BE80" s="126" t="n"/>
      <c r="BF80" s="126" t="n"/>
      <c r="BG80" s="126" t="n"/>
    </row>
    <row r="81" ht="21.95" customFormat="1" customHeight="1" s="106">
      <c r="A81" s="114" t="n"/>
      <c r="B81" s="583" t="inlineStr">
        <is>
          <t xml:space="preserve"> - งงานทาสีรองพื้นปูนใหม่ ภายในและภายนอกอาคาร</t>
        </is>
      </c>
      <c r="C81" s="580" t="n"/>
      <c r="D81" s="581" t="inlineStr">
        <is>
          <t>ตร.ม.</t>
        </is>
      </c>
      <c r="E81" s="582" t="n"/>
      <c r="F81" s="582">
        <f>C81*E81</f>
        <v/>
      </c>
      <c r="G81" s="582" t="n"/>
      <c r="H81" s="582">
        <f>C81*G81</f>
        <v/>
      </c>
      <c r="I81" s="582">
        <f>F81+H81</f>
        <v/>
      </c>
      <c r="J81" s="100" t="n"/>
      <c r="K81" s="153" t="n"/>
      <c r="L81" s="577" t="n"/>
      <c r="M81" s="578" t="n"/>
      <c r="N81" s="104" t="n"/>
      <c r="O81" s="104" t="n"/>
      <c r="P81" s="104" t="n"/>
      <c r="Q81" s="101" t="n"/>
      <c r="R81" s="101" t="n"/>
      <c r="S81" s="126" t="n"/>
      <c r="T81" s="126" t="n"/>
      <c r="U81" s="126" t="n"/>
      <c r="V81" s="126" t="n"/>
      <c r="W81" s="126" t="n"/>
      <c r="X81" s="126" t="n"/>
      <c r="Y81" s="126" t="n"/>
      <c r="Z81" s="126" t="n"/>
      <c r="AA81" s="126" t="n"/>
      <c r="AB81" s="126" t="n"/>
      <c r="AC81" s="126" t="n"/>
      <c r="AD81" s="126" t="n"/>
      <c r="AE81" s="126" t="n"/>
      <c r="AF81" s="126" t="n"/>
      <c r="AG81" s="126" t="n"/>
      <c r="AH81" s="126" t="n"/>
      <c r="AI81" s="126" t="n"/>
      <c r="AJ81" s="126" t="n"/>
      <c r="AK81" s="126" t="n"/>
      <c r="AL81" s="126" t="n"/>
      <c r="AM81" s="126" t="n"/>
      <c r="AN81" s="126" t="n"/>
      <c r="AO81" s="126" t="n"/>
      <c r="AP81" s="126" t="n"/>
      <c r="AQ81" s="126" t="n"/>
      <c r="AR81" s="126" t="n"/>
      <c r="AS81" s="126" t="n"/>
      <c r="AT81" s="126" t="n"/>
      <c r="AU81" s="126" t="n"/>
      <c r="AV81" s="126" t="n"/>
      <c r="AW81" s="126" t="n"/>
      <c r="AX81" s="126" t="n"/>
      <c r="AY81" s="126" t="n"/>
      <c r="AZ81" s="126" t="n"/>
      <c r="BA81" s="126" t="n"/>
      <c r="BB81" s="126" t="n"/>
      <c r="BC81" s="126" t="n"/>
      <c r="BD81" s="126" t="n"/>
      <c r="BE81" s="126" t="n"/>
      <c r="BF81" s="126" t="n"/>
      <c r="BG81" s="126" t="n"/>
    </row>
    <row r="82" ht="21.95" customFormat="1" customHeight="1" s="106">
      <c r="A82" s="114" t="n"/>
      <c r="B82" s="583" t="inlineStr">
        <is>
          <t xml:space="preserve"> - งานทาสีอะครีลิค ภายในและภายนอกอาคาร  มอก.2321-2564</t>
        </is>
      </c>
      <c r="C82" s="580" t="n"/>
      <c r="D82" s="581" t="inlineStr">
        <is>
          <t>ตร.ม.</t>
        </is>
      </c>
      <c r="E82" s="582" t="n"/>
      <c r="F82" s="582">
        <f>C82*E82</f>
        <v/>
      </c>
      <c r="G82" s="582" t="n"/>
      <c r="H82" s="582">
        <f>C82*G82</f>
        <v/>
      </c>
      <c r="I82" s="582">
        <f>F82+H82</f>
        <v/>
      </c>
      <c r="J82" s="100" t="n"/>
      <c r="K82" s="153" t="n"/>
      <c r="L82" s="577" t="n"/>
      <c r="M82" s="578" t="n"/>
      <c r="N82" s="104" t="n"/>
      <c r="O82" s="104" t="n"/>
      <c r="P82" s="104" t="n"/>
      <c r="Q82" s="101" t="n"/>
      <c r="R82" s="101" t="n"/>
      <c r="S82" s="126" t="n"/>
      <c r="T82" s="126" t="n"/>
      <c r="U82" s="126" t="n"/>
      <c r="V82" s="126" t="n"/>
      <c r="W82" s="126" t="n"/>
      <c r="X82" s="126" t="n"/>
      <c r="Y82" s="126" t="n"/>
      <c r="Z82" s="126" t="n"/>
      <c r="AA82" s="126" t="n"/>
      <c r="AB82" s="126" t="n"/>
      <c r="AC82" s="126" t="n"/>
      <c r="AD82" s="126" t="n"/>
      <c r="AE82" s="126" t="n"/>
      <c r="AF82" s="126" t="n"/>
      <c r="AG82" s="126" t="n"/>
      <c r="AH82" s="126" t="n"/>
      <c r="AI82" s="126" t="n"/>
      <c r="AJ82" s="126" t="n"/>
      <c r="AK82" s="126" t="n"/>
      <c r="AL82" s="126" t="n"/>
      <c r="AM82" s="126" t="n"/>
      <c r="AN82" s="126" t="n"/>
      <c r="AO82" s="126" t="n"/>
      <c r="AP82" s="126" t="n"/>
      <c r="AQ82" s="126" t="n"/>
      <c r="AR82" s="126" t="n"/>
      <c r="AS82" s="126" t="n"/>
      <c r="AT82" s="126" t="n"/>
      <c r="AU82" s="126" t="n"/>
      <c r="AV82" s="126" t="n"/>
      <c r="AW82" s="126" t="n"/>
      <c r="AX82" s="126" t="n"/>
      <c r="AY82" s="126" t="n"/>
      <c r="AZ82" s="126" t="n"/>
      <c r="BA82" s="126" t="n"/>
      <c r="BB82" s="126" t="n"/>
      <c r="BC82" s="126" t="n"/>
      <c r="BD82" s="126" t="n"/>
      <c r="BE82" s="126" t="n"/>
      <c r="BF82" s="126" t="n"/>
      <c r="BG82" s="126" t="n"/>
    </row>
    <row r="83" ht="21.95" customFormat="1" customHeight="1" s="106">
      <c r="A83" s="114" t="n"/>
      <c r="B83" s="583" t="inlineStr">
        <is>
          <t xml:space="preserve"> - งานทาสีฝ้าเพดาน</t>
        </is>
      </c>
      <c r="C83" s="580" t="n"/>
      <c r="D83" s="581" t="inlineStr">
        <is>
          <t>ตร.ม.</t>
        </is>
      </c>
      <c r="E83" s="582" t="n"/>
      <c r="F83" s="582">
        <f>C83*E83</f>
        <v/>
      </c>
      <c r="G83" s="582" t="n"/>
      <c r="H83" s="582">
        <f>C83*G83</f>
        <v/>
      </c>
      <c r="I83" s="582">
        <f>F83+H83</f>
        <v/>
      </c>
      <c r="J83" s="100" t="n"/>
      <c r="K83" s="153" t="n"/>
      <c r="L83" s="577" t="n"/>
      <c r="M83" s="578" t="n"/>
      <c r="N83" s="104" t="n"/>
      <c r="O83" s="104" t="n"/>
      <c r="P83" s="104" t="n"/>
      <c r="Q83" s="101" t="n"/>
      <c r="R83" s="101" t="n"/>
      <c r="S83" s="126" t="n"/>
      <c r="T83" s="126" t="n"/>
      <c r="U83" s="126" t="n"/>
      <c r="V83" s="126" t="n"/>
      <c r="W83" s="126" t="n"/>
      <c r="X83" s="126" t="n"/>
      <c r="Y83" s="126" t="n"/>
      <c r="Z83" s="126" t="n"/>
      <c r="AA83" s="126" t="n"/>
      <c r="AB83" s="126" t="n"/>
      <c r="AC83" s="126" t="n"/>
      <c r="AD83" s="126" t="n"/>
      <c r="AE83" s="126" t="n"/>
      <c r="AF83" s="126" t="n"/>
      <c r="AG83" s="126" t="n"/>
      <c r="AH83" s="126" t="n"/>
      <c r="AI83" s="126" t="n"/>
      <c r="AJ83" s="126" t="n"/>
      <c r="AK83" s="126" t="n"/>
      <c r="AL83" s="126" t="n"/>
      <c r="AM83" s="126" t="n"/>
      <c r="AN83" s="126" t="n"/>
      <c r="AO83" s="126" t="n"/>
      <c r="AP83" s="126" t="n"/>
      <c r="AQ83" s="126" t="n"/>
      <c r="AR83" s="126" t="n"/>
      <c r="AS83" s="126" t="n"/>
      <c r="AT83" s="126" t="n"/>
      <c r="AU83" s="126" t="n"/>
      <c r="AV83" s="126" t="n"/>
      <c r="AW83" s="126" t="n"/>
      <c r="AX83" s="126" t="n"/>
      <c r="AY83" s="126" t="n"/>
      <c r="AZ83" s="126" t="n"/>
      <c r="BA83" s="126" t="n"/>
      <c r="BB83" s="126" t="n"/>
      <c r="BC83" s="126" t="n"/>
      <c r="BD83" s="126" t="n"/>
      <c r="BE83" s="126" t="n"/>
      <c r="BF83" s="126" t="n"/>
      <c r="BG83" s="126" t="n"/>
    </row>
    <row r="84" ht="21.95" customFormat="1" customHeight="1" s="106">
      <c r="A84" s="107" t="n">
        <v>3.5</v>
      </c>
      <c r="B84" s="579" t="inlineStr">
        <is>
          <t>งานฝ้าเพดาน</t>
        </is>
      </c>
      <c r="C84" s="580" t="n"/>
      <c r="D84" s="581" t="n"/>
      <c r="E84" s="582" t="n"/>
      <c r="F84" s="582">
        <f>C84*E84</f>
        <v/>
      </c>
      <c r="G84" s="582" t="n"/>
      <c r="H84" s="582">
        <f>C84*G84</f>
        <v/>
      </c>
      <c r="I84" s="582">
        <f>F84+H84</f>
        <v/>
      </c>
      <c r="J84" s="100" t="n"/>
      <c r="K84" s="153" t="n"/>
      <c r="L84" s="577" t="n"/>
      <c r="M84" s="578" t="n"/>
      <c r="N84" s="104" t="n"/>
      <c r="O84" s="104" t="n"/>
      <c r="P84" s="104" t="n"/>
      <c r="Q84" s="101" t="n"/>
      <c r="R84" s="101" t="n"/>
      <c r="S84" s="126" t="n"/>
      <c r="T84" s="126" t="n"/>
      <c r="U84" s="126" t="n"/>
      <c r="V84" s="126" t="n"/>
      <c r="W84" s="126" t="n"/>
      <c r="X84" s="126" t="n"/>
      <c r="Y84" s="126" t="n"/>
      <c r="Z84" s="126" t="n"/>
      <c r="AA84" s="126" t="n"/>
      <c r="AB84" s="126" t="n"/>
      <c r="AC84" s="126" t="n"/>
      <c r="AD84" s="126" t="n"/>
      <c r="AE84" s="126" t="n"/>
      <c r="AF84" s="126" t="n"/>
      <c r="AG84" s="126" t="n"/>
      <c r="AH84" s="126" t="n"/>
      <c r="AI84" s="126" t="n"/>
      <c r="AJ84" s="126" t="n"/>
      <c r="AK84" s="126" t="n"/>
      <c r="AL84" s="126" t="n"/>
      <c r="AM84" s="126" t="n"/>
      <c r="AN84" s="126" t="n"/>
      <c r="AO84" s="126" t="n"/>
      <c r="AP84" s="126" t="n"/>
      <c r="AQ84" s="126" t="n"/>
      <c r="AR84" s="126" t="n"/>
      <c r="AS84" s="126" t="n"/>
      <c r="AT84" s="126" t="n"/>
      <c r="AU84" s="126" t="n"/>
      <c r="AV84" s="126" t="n"/>
      <c r="AW84" s="126" t="n"/>
      <c r="AX84" s="126" t="n"/>
      <c r="AY84" s="126" t="n"/>
      <c r="AZ84" s="126" t="n"/>
      <c r="BA84" s="126" t="n"/>
      <c r="BB84" s="126" t="n"/>
      <c r="BC84" s="126" t="n"/>
      <c r="BD84" s="126" t="n"/>
      <c r="BE84" s="126" t="n"/>
      <c r="BF84" s="126" t="n"/>
      <c r="BG84" s="126" t="n"/>
    </row>
    <row r="85" ht="21.95" customFormat="1" customHeight="1" s="106">
      <c r="A85" s="114" t="n"/>
      <c r="B85" s="583" t="inlineStr">
        <is>
          <t xml:space="preserve"> - C1 - ฝ้าเพดานโครงเคร่าเหล็กชุบสังกะสีกรุแผ่นเรียบหนา 6 มม.</t>
        </is>
      </c>
      <c r="C85" s="580" t="n"/>
      <c r="D85" s="581" t="inlineStr">
        <is>
          <t>ตร.ม.</t>
        </is>
      </c>
      <c r="E85" s="582" t="n"/>
      <c r="F85" s="582">
        <f>C85*E85</f>
        <v/>
      </c>
      <c r="G85" s="582" t="n"/>
      <c r="H85" s="582">
        <f>C85*G85</f>
        <v/>
      </c>
      <c r="I85" s="582">
        <f>F85+H85</f>
        <v/>
      </c>
      <c r="J85" s="100" t="n"/>
      <c r="K85" s="153" t="n"/>
      <c r="L85" s="577" t="n"/>
      <c r="M85" s="578" t="n"/>
      <c r="N85" s="104" t="n"/>
      <c r="O85" s="104" t="n"/>
      <c r="P85" s="104" t="n"/>
      <c r="Q85" s="101" t="n"/>
      <c r="R85" s="101" t="n"/>
      <c r="S85" s="126" t="n"/>
      <c r="T85" s="126" t="n"/>
      <c r="U85" s="126" t="n"/>
      <c r="V85" s="126" t="n"/>
      <c r="W85" s="126" t="n"/>
      <c r="X85" s="126" t="n"/>
      <c r="Y85" s="126" t="n"/>
      <c r="Z85" s="126" t="n"/>
      <c r="AA85" s="126" t="n"/>
      <c r="AB85" s="126" t="n"/>
      <c r="AC85" s="126" t="n"/>
      <c r="AD85" s="126" t="n"/>
      <c r="AE85" s="126" t="n"/>
      <c r="AF85" s="126" t="n"/>
      <c r="AG85" s="126" t="n"/>
      <c r="AH85" s="126" t="n"/>
      <c r="AI85" s="126" t="n"/>
      <c r="AJ85" s="126" t="n"/>
      <c r="AK85" s="126" t="n"/>
      <c r="AL85" s="126" t="n"/>
      <c r="AM85" s="126" t="n"/>
      <c r="AN85" s="126" t="n"/>
      <c r="AO85" s="126" t="n"/>
      <c r="AP85" s="126" t="n"/>
      <c r="AQ85" s="126" t="n"/>
      <c r="AR85" s="126" t="n"/>
      <c r="AS85" s="126" t="n"/>
      <c r="AT85" s="126" t="n"/>
      <c r="AU85" s="126" t="n"/>
      <c r="AV85" s="126" t="n"/>
      <c r="AW85" s="126" t="n"/>
      <c r="AX85" s="126" t="n"/>
      <c r="AY85" s="126" t="n"/>
      <c r="AZ85" s="126" t="n"/>
      <c r="BA85" s="126" t="n"/>
      <c r="BB85" s="126" t="n"/>
      <c r="BC85" s="126" t="n"/>
      <c r="BD85" s="126" t="n"/>
      <c r="BE85" s="126" t="n"/>
      <c r="BF85" s="126" t="n"/>
      <c r="BG85" s="126" t="n"/>
    </row>
    <row r="86" ht="21.95" customFormat="1" customHeight="1" s="106">
      <c r="A86" s="133" t="n"/>
      <c r="B86" s="596" t="inlineStr">
        <is>
          <t xml:space="preserve"> - C2 - ฝ้าเพดานโครงเคร่าทีบาร์กรุแผ่นเรียบหนา 6 มม.</t>
        </is>
      </c>
      <c r="C86" s="597" t="n"/>
      <c r="D86" s="581" t="inlineStr">
        <is>
          <t>ตร.ม.</t>
        </is>
      </c>
      <c r="E86" s="598" t="n"/>
      <c r="F86" s="582">
        <f>C86*E86</f>
        <v/>
      </c>
      <c r="G86" s="598" t="n"/>
      <c r="H86" s="582">
        <f>C86*G86</f>
        <v/>
      </c>
      <c r="I86" s="582">
        <f>F86+H86</f>
        <v/>
      </c>
      <c r="J86" s="100" t="n"/>
      <c r="K86" s="153" t="n"/>
      <c r="L86" s="577" t="n"/>
      <c r="M86" s="578" t="n"/>
      <c r="N86" s="104" t="n"/>
      <c r="O86" s="104" t="n"/>
      <c r="P86" s="104" t="n"/>
      <c r="Q86" s="101" t="n"/>
      <c r="R86" s="101" t="n"/>
      <c r="S86" s="126" t="n"/>
      <c r="T86" s="126" t="n"/>
      <c r="U86" s="126" t="n"/>
      <c r="V86" s="126" t="n"/>
      <c r="W86" s="126" t="n"/>
      <c r="X86" s="126" t="n"/>
      <c r="Y86" s="126" t="n"/>
      <c r="Z86" s="126" t="n"/>
      <c r="AA86" s="126" t="n"/>
      <c r="AB86" s="126" t="n"/>
      <c r="AC86" s="126" t="n"/>
      <c r="AD86" s="126" t="n"/>
      <c r="AE86" s="126" t="n"/>
      <c r="AF86" s="126" t="n"/>
      <c r="AG86" s="126" t="n"/>
      <c r="AH86" s="126" t="n"/>
      <c r="AI86" s="126" t="n"/>
      <c r="AJ86" s="126" t="n"/>
      <c r="AK86" s="126" t="n"/>
      <c r="AL86" s="126" t="n"/>
      <c r="AM86" s="126" t="n"/>
      <c r="AN86" s="126" t="n"/>
      <c r="AO86" s="126" t="n"/>
      <c r="AP86" s="126" t="n"/>
      <c r="AQ86" s="126" t="n"/>
      <c r="AR86" s="126" t="n"/>
      <c r="AS86" s="126" t="n"/>
      <c r="AT86" s="126" t="n"/>
      <c r="AU86" s="126" t="n"/>
      <c r="AV86" s="126" t="n"/>
      <c r="AW86" s="126" t="n"/>
      <c r="AX86" s="126" t="n"/>
      <c r="AY86" s="126" t="n"/>
      <c r="AZ86" s="126" t="n"/>
      <c r="BA86" s="126" t="n"/>
      <c r="BB86" s="126" t="n"/>
      <c r="BC86" s="126" t="n"/>
      <c r="BD86" s="126" t="n"/>
      <c r="BE86" s="126" t="n"/>
      <c r="BF86" s="126" t="n"/>
      <c r="BG86" s="126" t="n"/>
    </row>
    <row r="87" ht="21.95" customFormat="1" customHeight="1" s="106">
      <c r="A87" s="133" t="n"/>
      <c r="B87" s="596" t="inlineStr">
        <is>
          <t xml:space="preserve"> - C3 - ฝ้าเพดานโครงเคร่าเหล็กชุบสังกะสีกรุระแนงไม้เทียม 3"ลบมุมหนา 8 มม.</t>
        </is>
      </c>
      <c r="C87" s="597" t="n"/>
      <c r="D87" s="581" t="inlineStr">
        <is>
          <t>ตร.ม.</t>
        </is>
      </c>
      <c r="E87" s="598" t="n"/>
      <c r="F87" s="582">
        <f>C87*E87</f>
        <v/>
      </c>
      <c r="G87" s="598" t="n"/>
      <c r="H87" s="582">
        <f>C87*G87</f>
        <v/>
      </c>
      <c r="I87" s="582">
        <f>F87+H87</f>
        <v/>
      </c>
      <c r="J87" s="100" t="n"/>
      <c r="K87" s="153" t="n"/>
      <c r="L87" s="577" t="n"/>
      <c r="M87" s="578" t="n"/>
      <c r="N87" s="104" t="n"/>
      <c r="O87" s="104" t="n"/>
      <c r="P87" s="104" t="n"/>
      <c r="Q87" s="101" t="n"/>
      <c r="R87" s="101" t="n"/>
      <c r="S87" s="126" t="n"/>
      <c r="T87" s="126" t="n"/>
      <c r="U87" s="126" t="n"/>
      <c r="V87" s="126" t="n"/>
      <c r="W87" s="126" t="n"/>
      <c r="X87" s="126" t="n"/>
      <c r="Y87" s="126" t="n"/>
      <c r="Z87" s="126" t="n"/>
      <c r="AA87" s="126" t="n"/>
      <c r="AB87" s="126" t="n"/>
      <c r="AC87" s="126" t="n"/>
      <c r="AD87" s="126" t="n"/>
      <c r="AE87" s="126" t="n"/>
      <c r="AF87" s="126" t="n"/>
      <c r="AG87" s="126" t="n"/>
      <c r="AH87" s="126" t="n"/>
      <c r="AI87" s="126" t="n"/>
      <c r="AJ87" s="126" t="n"/>
      <c r="AK87" s="126" t="n"/>
      <c r="AL87" s="126" t="n"/>
      <c r="AM87" s="126" t="n"/>
      <c r="AN87" s="126" t="n"/>
      <c r="AO87" s="126" t="n"/>
      <c r="AP87" s="126" t="n"/>
      <c r="AQ87" s="126" t="n"/>
      <c r="AR87" s="126" t="n"/>
      <c r="AS87" s="126" t="n"/>
      <c r="AT87" s="126" t="n"/>
      <c r="AU87" s="126" t="n"/>
      <c r="AV87" s="126" t="n"/>
      <c r="AW87" s="126" t="n"/>
      <c r="AX87" s="126" t="n"/>
      <c r="AY87" s="126" t="n"/>
      <c r="AZ87" s="126" t="n"/>
      <c r="BA87" s="126" t="n"/>
      <c r="BB87" s="126" t="n"/>
      <c r="BC87" s="126" t="n"/>
      <c r="BD87" s="126" t="n"/>
      <c r="BE87" s="126" t="n"/>
      <c r="BF87" s="126" t="n"/>
      <c r="BG87" s="126" t="n"/>
    </row>
    <row r="88" ht="21.95" customFormat="1" customHeight="1" s="106">
      <c r="A88" s="133" t="n"/>
      <c r="B88" s="596" t="inlineStr">
        <is>
          <t xml:space="preserve"> -  บัวเพดานระแนงไม้เทียม 2" ลบมุมข้างเดียวหนา 8 มม.</t>
        </is>
      </c>
      <c r="C88" s="597" t="n"/>
      <c r="D88" s="599" t="inlineStr">
        <is>
          <t>เมตร</t>
        </is>
      </c>
      <c r="E88" s="598" t="n"/>
      <c r="F88" s="582">
        <f>C88*E88</f>
        <v/>
      </c>
      <c r="G88" s="598" t="n"/>
      <c r="H88" s="582">
        <f>C88*G88</f>
        <v/>
      </c>
      <c r="I88" s="582">
        <f>F88+H88</f>
        <v/>
      </c>
      <c r="J88" s="100" t="n"/>
      <c r="K88" s="153" t="n"/>
      <c r="L88" s="577" t="n"/>
      <c r="M88" s="578" t="n"/>
      <c r="N88" s="104" t="n"/>
      <c r="O88" s="104" t="n"/>
      <c r="P88" s="104" t="n"/>
      <c r="Q88" s="101" t="n"/>
      <c r="R88" s="101" t="n"/>
      <c r="S88" s="126" t="n"/>
      <c r="T88" s="126" t="n"/>
      <c r="U88" s="126" t="n"/>
      <c r="V88" s="126" t="n"/>
      <c r="W88" s="126" t="n"/>
      <c r="X88" s="126" t="n"/>
      <c r="Y88" s="126" t="n"/>
      <c r="Z88" s="126" t="n"/>
      <c r="AA88" s="126" t="n"/>
      <c r="AB88" s="126" t="n"/>
      <c r="AC88" s="126" t="n"/>
      <c r="AD88" s="126" t="n"/>
      <c r="AE88" s="126" t="n"/>
      <c r="AF88" s="126" t="n"/>
      <c r="AG88" s="126" t="n"/>
      <c r="AH88" s="126" t="n"/>
      <c r="AI88" s="126" t="n"/>
      <c r="AJ88" s="126" t="n"/>
      <c r="AK88" s="126" t="n"/>
      <c r="AL88" s="126" t="n"/>
      <c r="AM88" s="126" t="n"/>
      <c r="AN88" s="126" t="n"/>
      <c r="AO88" s="126" t="n"/>
      <c r="AP88" s="126" t="n"/>
      <c r="AQ88" s="126" t="n"/>
      <c r="AR88" s="126" t="n"/>
      <c r="AS88" s="126" t="n"/>
      <c r="AT88" s="126" t="n"/>
      <c r="AU88" s="126" t="n"/>
      <c r="AV88" s="126" t="n"/>
      <c r="AW88" s="126" t="n"/>
      <c r="AX88" s="126" t="n"/>
      <c r="AY88" s="126" t="n"/>
      <c r="AZ88" s="126" t="n"/>
      <c r="BA88" s="126" t="n"/>
      <c r="BB88" s="126" t="n"/>
      <c r="BC88" s="126" t="n"/>
      <c r="BD88" s="126" t="n"/>
      <c r="BE88" s="126" t="n"/>
      <c r="BF88" s="126" t="n"/>
      <c r="BG88" s="126" t="n"/>
    </row>
    <row r="89" ht="21.95" customFormat="1" customHeight="1" s="106">
      <c r="A89" s="133" t="n"/>
      <c r="B89" s="596" t="n"/>
      <c r="C89" s="597" t="n"/>
      <c r="D89" s="599" t="n"/>
      <c r="E89" s="598" t="n"/>
      <c r="F89" s="582">
        <f>C89*E89</f>
        <v/>
      </c>
      <c r="G89" s="598" t="n"/>
      <c r="H89" s="582">
        <f>C89*G89</f>
        <v/>
      </c>
      <c r="I89" s="582">
        <f>F89+H89</f>
        <v/>
      </c>
      <c r="J89" s="100" t="n"/>
      <c r="K89" s="153" t="n"/>
      <c r="L89" s="577" t="n"/>
      <c r="M89" s="578" t="n"/>
      <c r="N89" s="104" t="n"/>
      <c r="O89" s="104" t="n"/>
      <c r="P89" s="104" t="n"/>
      <c r="Q89" s="101" t="n"/>
      <c r="R89" s="101" t="n"/>
      <c r="S89" s="126" t="n"/>
      <c r="T89" s="126" t="n"/>
      <c r="U89" s="126" t="n"/>
      <c r="V89" s="126" t="n"/>
      <c r="W89" s="126" t="n"/>
      <c r="X89" s="126" t="n"/>
      <c r="Y89" s="126" t="n"/>
      <c r="Z89" s="126" t="n"/>
      <c r="AA89" s="126" t="n"/>
      <c r="AB89" s="126" t="n"/>
      <c r="AC89" s="126" t="n"/>
      <c r="AD89" s="126" t="n"/>
      <c r="AE89" s="126" t="n"/>
      <c r="AF89" s="126" t="n"/>
      <c r="AG89" s="126" t="n"/>
      <c r="AH89" s="126" t="n"/>
      <c r="AI89" s="126" t="n"/>
      <c r="AJ89" s="126" t="n"/>
      <c r="AK89" s="126" t="n"/>
      <c r="AL89" s="126" t="n"/>
      <c r="AM89" s="126" t="n"/>
      <c r="AN89" s="126" t="n"/>
      <c r="AO89" s="126" t="n"/>
      <c r="AP89" s="126" t="n"/>
      <c r="AQ89" s="126" t="n"/>
      <c r="AR89" s="126" t="n"/>
      <c r="AS89" s="126" t="n"/>
      <c r="AT89" s="126" t="n"/>
      <c r="AU89" s="126" t="n"/>
      <c r="AV89" s="126" t="n"/>
      <c r="AW89" s="126" t="n"/>
      <c r="AX89" s="126" t="n"/>
      <c r="AY89" s="126" t="n"/>
      <c r="AZ89" s="126" t="n"/>
      <c r="BA89" s="126" t="n"/>
      <c r="BB89" s="126" t="n"/>
      <c r="BC89" s="126" t="n"/>
      <c r="BD89" s="126" t="n"/>
      <c r="BE89" s="126" t="n"/>
      <c r="BF89" s="126" t="n"/>
      <c r="BG89" s="126" t="n"/>
    </row>
    <row r="90" ht="21.95" customFormat="1" customHeight="1" s="106">
      <c r="A90" s="138" t="n">
        <v>3.6</v>
      </c>
      <c r="B90" s="600" t="inlineStr">
        <is>
          <t>งานบันได</t>
        </is>
      </c>
      <c r="C90" s="597" t="n"/>
      <c r="D90" s="599" t="n"/>
      <c r="E90" s="598" t="n"/>
      <c r="F90" s="582">
        <f>C90*E90</f>
        <v/>
      </c>
      <c r="G90" s="598" t="n"/>
      <c r="H90" s="582">
        <f>C90*G90</f>
        <v/>
      </c>
      <c r="I90" s="582">
        <f>F90+H90</f>
        <v/>
      </c>
      <c r="J90" s="100" t="n"/>
      <c r="K90" s="153" t="n"/>
      <c r="L90" s="577" t="n"/>
      <c r="M90" s="578" t="n"/>
      <c r="N90" s="104" t="n"/>
      <c r="O90" s="104" t="n"/>
      <c r="P90" s="104" t="n"/>
      <c r="Q90" s="101" t="n"/>
      <c r="R90" s="101" t="n"/>
      <c r="S90" s="126" t="n"/>
      <c r="T90" s="126" t="n"/>
      <c r="U90" s="126" t="n"/>
      <c r="V90" s="126" t="n"/>
      <c r="W90" s="126" t="n"/>
      <c r="X90" s="126" t="n"/>
      <c r="Y90" s="126" t="n"/>
      <c r="Z90" s="126" t="n"/>
      <c r="AA90" s="126" t="n"/>
      <c r="AB90" s="126" t="n"/>
      <c r="AC90" s="126" t="n"/>
      <c r="AD90" s="126" t="n"/>
      <c r="AE90" s="126" t="n"/>
      <c r="AF90" s="126" t="n"/>
      <c r="AG90" s="126" t="n"/>
      <c r="AH90" s="126" t="n"/>
      <c r="AI90" s="126" t="n"/>
      <c r="AJ90" s="126" t="n"/>
      <c r="AK90" s="126" t="n"/>
      <c r="AL90" s="126" t="n"/>
      <c r="AM90" s="126" t="n"/>
      <c r="AN90" s="126" t="n"/>
      <c r="AO90" s="126" t="n"/>
      <c r="AP90" s="126" t="n"/>
      <c r="AQ90" s="126" t="n"/>
      <c r="AR90" s="126" t="n"/>
      <c r="AS90" s="126" t="n"/>
      <c r="AT90" s="126" t="n"/>
      <c r="AU90" s="126" t="n"/>
      <c r="AV90" s="126" t="n"/>
      <c r="AW90" s="126" t="n"/>
      <c r="AX90" s="126" t="n"/>
      <c r="AY90" s="126" t="n"/>
      <c r="AZ90" s="126" t="n"/>
      <c r="BA90" s="126" t="n"/>
      <c r="BB90" s="126" t="n"/>
      <c r="BC90" s="126" t="n"/>
      <c r="BD90" s="126" t="n"/>
      <c r="BE90" s="126" t="n"/>
      <c r="BF90" s="126" t="n"/>
      <c r="BG90" s="126" t="n"/>
    </row>
    <row r="91" ht="21.95" customFormat="1" customHeight="1" s="106">
      <c r="A91" s="133" t="n"/>
      <c r="B91" s="596" t="inlineStr">
        <is>
          <t xml:space="preserve"> - ราวระเบียงสแตนเลสกลม 1.5"สูง 0.20 ม. ( หน้า A-30 )</t>
        </is>
      </c>
      <c r="C91" s="597" t="n"/>
      <c r="D91" s="599" t="inlineStr">
        <is>
          <t>เมตร</t>
        </is>
      </c>
      <c r="E91" s="598" t="n"/>
      <c r="F91" s="582">
        <f>C91*E91</f>
        <v/>
      </c>
      <c r="G91" s="598" t="n"/>
      <c r="H91" s="582">
        <f>C91*G91</f>
        <v/>
      </c>
      <c r="I91" s="582">
        <f>F91+H91</f>
        <v/>
      </c>
      <c r="J91" s="100" t="n"/>
      <c r="K91" s="153" t="n"/>
      <c r="L91" s="577" t="n"/>
      <c r="M91" s="578" t="n"/>
      <c r="N91" s="104" t="n"/>
      <c r="O91" s="104" t="n"/>
      <c r="P91" s="104" t="n"/>
      <c r="Q91" s="101" t="n"/>
      <c r="R91" s="101" t="n"/>
      <c r="S91" s="126" t="n"/>
      <c r="T91" s="126" t="n"/>
      <c r="U91" s="126" t="n"/>
      <c r="V91" s="126" t="n"/>
      <c r="W91" s="126" t="n"/>
      <c r="X91" s="126" t="n"/>
      <c r="Y91" s="126" t="n"/>
      <c r="Z91" s="126" t="n"/>
      <c r="AA91" s="126" t="n"/>
      <c r="AB91" s="126" t="n"/>
      <c r="AC91" s="126" t="n"/>
      <c r="AD91" s="126" t="n"/>
      <c r="AE91" s="126" t="n"/>
      <c r="AF91" s="126" t="n"/>
      <c r="AG91" s="126" t="n"/>
      <c r="AH91" s="126" t="n"/>
      <c r="AI91" s="126" t="n"/>
      <c r="AJ91" s="126" t="n"/>
      <c r="AK91" s="126" t="n"/>
      <c r="AL91" s="126" t="n"/>
      <c r="AM91" s="126" t="n"/>
      <c r="AN91" s="126" t="n"/>
      <c r="AO91" s="126" t="n"/>
      <c r="AP91" s="126" t="n"/>
      <c r="AQ91" s="126" t="n"/>
      <c r="AR91" s="126" t="n"/>
      <c r="AS91" s="126" t="n"/>
      <c r="AT91" s="126" t="n"/>
      <c r="AU91" s="126" t="n"/>
      <c r="AV91" s="126" t="n"/>
      <c r="AW91" s="126" t="n"/>
      <c r="AX91" s="126" t="n"/>
      <c r="AY91" s="126" t="n"/>
      <c r="AZ91" s="126" t="n"/>
      <c r="BA91" s="126" t="n"/>
      <c r="BB91" s="126" t="n"/>
      <c r="BC91" s="126" t="n"/>
      <c r="BD91" s="126" t="n"/>
      <c r="BE91" s="126" t="n"/>
      <c r="BF91" s="126" t="n"/>
      <c r="BG91" s="126" t="n"/>
    </row>
    <row r="92" ht="21.95" customFormat="1" customHeight="1" s="106">
      <c r="A92" s="133" t="n"/>
      <c r="B92" s="596" t="inlineStr">
        <is>
          <t xml:space="preserve"> - ราวจับติดบนราวกันตกบันไดสแตนเลส ขนาด 3/4" ทั้งสองชุด</t>
        </is>
      </c>
      <c r="C92" s="597" t="n"/>
      <c r="D92" s="599" t="inlineStr">
        <is>
          <t>เมตร</t>
        </is>
      </c>
      <c r="E92" s="598" t="n"/>
      <c r="F92" s="582">
        <f>C92*E92</f>
        <v/>
      </c>
      <c r="G92" s="598" t="n"/>
      <c r="H92" s="582">
        <f>C92*G92</f>
        <v/>
      </c>
      <c r="I92" s="582">
        <f>F92+H92</f>
        <v/>
      </c>
      <c r="J92" s="100" t="n"/>
      <c r="K92" s="153" t="n"/>
      <c r="L92" s="577" t="n"/>
      <c r="M92" s="578" t="n"/>
      <c r="N92" s="104" t="n"/>
      <c r="O92" s="104" t="n"/>
      <c r="P92" s="104" t="n"/>
      <c r="Q92" s="101" t="n"/>
      <c r="R92" s="101" t="n"/>
      <c r="S92" s="126" t="n"/>
      <c r="T92" s="126" t="n"/>
      <c r="U92" s="126" t="n"/>
      <c r="V92" s="126" t="n"/>
      <c r="W92" s="126" t="n"/>
      <c r="X92" s="126" t="n"/>
      <c r="Y92" s="126" t="n"/>
      <c r="Z92" s="126" t="n"/>
      <c r="AA92" s="126" t="n"/>
      <c r="AB92" s="126" t="n"/>
      <c r="AC92" s="126" t="n"/>
      <c r="AD92" s="126" t="n"/>
      <c r="AE92" s="126" t="n"/>
      <c r="AF92" s="126" t="n"/>
      <c r="AG92" s="126" t="n"/>
      <c r="AH92" s="126" t="n"/>
      <c r="AI92" s="126" t="n"/>
      <c r="AJ92" s="126" t="n"/>
      <c r="AK92" s="126" t="n"/>
      <c r="AL92" s="126" t="n"/>
      <c r="AM92" s="126" t="n"/>
      <c r="AN92" s="126" t="n"/>
      <c r="AO92" s="126" t="n"/>
      <c r="AP92" s="126" t="n"/>
      <c r="AQ92" s="126" t="n"/>
      <c r="AR92" s="126" t="n"/>
      <c r="AS92" s="126" t="n"/>
      <c r="AT92" s="126" t="n"/>
      <c r="AU92" s="126" t="n"/>
      <c r="AV92" s="126" t="n"/>
      <c r="AW92" s="126" t="n"/>
      <c r="AX92" s="126" t="n"/>
      <c r="AY92" s="126" t="n"/>
      <c r="AZ92" s="126" t="n"/>
      <c r="BA92" s="126" t="n"/>
      <c r="BB92" s="126" t="n"/>
      <c r="BC92" s="126" t="n"/>
      <c r="BD92" s="126" t="n"/>
      <c r="BE92" s="126" t="n"/>
      <c r="BF92" s="126" t="n"/>
      <c r="BG92" s="126" t="n"/>
    </row>
    <row r="93" ht="21.95" customFormat="1" customHeight="1" s="106">
      <c r="A93" s="133" t="n"/>
      <c r="B93" s="596" t="inlineStr">
        <is>
          <t xml:space="preserve"> - ราวจับติดข้างบันไดสแตนเลส ขนาด 1.5" ทั้งสองชุด</t>
        </is>
      </c>
      <c r="C93" s="597" t="n"/>
      <c r="D93" s="599" t="inlineStr">
        <is>
          <t>เมตร</t>
        </is>
      </c>
      <c r="E93" s="598" t="n"/>
      <c r="F93" s="582">
        <f>C93*E93</f>
        <v/>
      </c>
      <c r="G93" s="598" t="n"/>
      <c r="H93" s="582">
        <f>C93*G93</f>
        <v/>
      </c>
      <c r="I93" s="582">
        <f>F93+H93</f>
        <v/>
      </c>
      <c r="J93" s="100" t="n"/>
      <c r="K93" s="153" t="n"/>
      <c r="L93" s="577" t="n"/>
      <c r="M93" s="578" t="n"/>
      <c r="N93" s="104" t="n"/>
      <c r="O93" s="104" t="n"/>
      <c r="P93" s="104" t="n"/>
      <c r="Q93" s="101" t="n"/>
      <c r="R93" s="101" t="n"/>
      <c r="S93" s="126" t="n"/>
      <c r="T93" s="126" t="n"/>
      <c r="U93" s="126" t="n"/>
      <c r="V93" s="126" t="n"/>
      <c r="W93" s="126" t="n"/>
      <c r="X93" s="126" t="n"/>
      <c r="Y93" s="126" t="n"/>
      <c r="Z93" s="126" t="n"/>
      <c r="AA93" s="126" t="n"/>
      <c r="AB93" s="126" t="n"/>
      <c r="AC93" s="126" t="n"/>
      <c r="AD93" s="126" t="n"/>
      <c r="AE93" s="126" t="n"/>
      <c r="AF93" s="126" t="n"/>
      <c r="AG93" s="126" t="n"/>
      <c r="AH93" s="126" t="n"/>
      <c r="AI93" s="126" t="n"/>
      <c r="AJ93" s="126" t="n"/>
      <c r="AK93" s="126" t="n"/>
      <c r="AL93" s="126" t="n"/>
      <c r="AM93" s="126" t="n"/>
      <c r="AN93" s="126" t="n"/>
      <c r="AO93" s="126" t="n"/>
      <c r="AP93" s="126" t="n"/>
      <c r="AQ93" s="126" t="n"/>
      <c r="AR93" s="126" t="n"/>
      <c r="AS93" s="126" t="n"/>
      <c r="AT93" s="126" t="n"/>
      <c r="AU93" s="126" t="n"/>
      <c r="AV93" s="126" t="n"/>
      <c r="AW93" s="126" t="n"/>
      <c r="AX93" s="126" t="n"/>
      <c r="AY93" s="126" t="n"/>
      <c r="AZ93" s="126" t="n"/>
      <c r="BA93" s="126" t="n"/>
      <c r="BB93" s="126" t="n"/>
      <c r="BC93" s="126" t="n"/>
      <c r="BD93" s="126" t="n"/>
      <c r="BE93" s="126" t="n"/>
      <c r="BF93" s="126" t="n"/>
      <c r="BG93" s="126" t="n"/>
    </row>
    <row r="94" ht="21.95" customFormat="1" customHeight="1" s="106">
      <c r="A94" s="133" t="n"/>
      <c r="B94" s="596" t="n"/>
      <c r="C94" s="597" t="n"/>
      <c r="D94" s="599" t="n"/>
      <c r="E94" s="598" t="n"/>
      <c r="F94" s="598">
        <f>C94*E94</f>
        <v/>
      </c>
      <c r="G94" s="598" t="n"/>
      <c r="H94" s="598">
        <f>C94*G94</f>
        <v/>
      </c>
      <c r="I94" s="598">
        <f>F94+H94</f>
        <v/>
      </c>
      <c r="J94" s="100" t="n"/>
      <c r="K94" s="153" t="n"/>
      <c r="L94" s="577" t="n"/>
      <c r="M94" s="578" t="n"/>
      <c r="N94" s="104" t="n"/>
      <c r="O94" s="104" t="n"/>
      <c r="P94" s="104" t="n"/>
      <c r="Q94" s="101" t="n"/>
      <c r="R94" s="101" t="n"/>
      <c r="S94" s="126" t="n"/>
      <c r="T94" s="126" t="n"/>
      <c r="U94" s="126" t="n"/>
      <c r="V94" s="126" t="n"/>
      <c r="W94" s="126" t="n"/>
      <c r="X94" s="126" t="n"/>
      <c r="Y94" s="126" t="n"/>
      <c r="Z94" s="126" t="n"/>
      <c r="AA94" s="126" t="n"/>
      <c r="AB94" s="126" t="n"/>
      <c r="AC94" s="126" t="n"/>
      <c r="AD94" s="126" t="n"/>
      <c r="AE94" s="126" t="n"/>
      <c r="AF94" s="126" t="n"/>
      <c r="AG94" s="126" t="n"/>
      <c r="AH94" s="126" t="n"/>
      <c r="AI94" s="126" t="n"/>
      <c r="AJ94" s="126" t="n"/>
      <c r="AK94" s="126" t="n"/>
      <c r="AL94" s="126" t="n"/>
      <c r="AM94" s="126" t="n"/>
      <c r="AN94" s="126" t="n"/>
      <c r="AO94" s="126" t="n"/>
      <c r="AP94" s="126" t="n"/>
      <c r="AQ94" s="126" t="n"/>
      <c r="AR94" s="126" t="n"/>
      <c r="AS94" s="126" t="n"/>
      <c r="AT94" s="126" t="n"/>
      <c r="AU94" s="126" t="n"/>
      <c r="AV94" s="126" t="n"/>
      <c r="AW94" s="126" t="n"/>
      <c r="AX94" s="126" t="n"/>
      <c r="AY94" s="126" t="n"/>
      <c r="AZ94" s="126" t="n"/>
      <c r="BA94" s="126" t="n"/>
      <c r="BB94" s="126" t="n"/>
      <c r="BC94" s="126" t="n"/>
      <c r="BD94" s="126" t="n"/>
      <c r="BE94" s="126" t="n"/>
      <c r="BF94" s="126" t="n"/>
      <c r="BG94" s="126" t="n"/>
    </row>
    <row r="95" ht="21.95" customFormat="1" customHeight="1" s="106">
      <c r="A95" s="133" t="n"/>
      <c r="B95" s="596" t="n"/>
      <c r="C95" s="597" t="n"/>
      <c r="D95" s="599" t="n"/>
      <c r="E95" s="598" t="n"/>
      <c r="F95" s="598">
        <f>C95*E95</f>
        <v/>
      </c>
      <c r="G95" s="598" t="n"/>
      <c r="H95" s="598">
        <f>C95*G95</f>
        <v/>
      </c>
      <c r="I95" s="598">
        <f>F95+H95</f>
        <v/>
      </c>
      <c r="J95" s="595" t="n"/>
      <c r="K95" s="153" t="n"/>
      <c r="L95" s="577" t="n"/>
      <c r="M95" s="578" t="n"/>
      <c r="N95" s="104" t="n"/>
      <c r="O95" s="104" t="n"/>
      <c r="P95" s="104" t="n"/>
      <c r="Q95" s="101" t="n"/>
      <c r="R95" s="101" t="n"/>
      <c r="S95" s="126" t="n"/>
      <c r="T95" s="126" t="n"/>
      <c r="U95" s="126" t="n"/>
      <c r="V95" s="126" t="n"/>
      <c r="W95" s="126" t="n"/>
      <c r="X95" s="126" t="n"/>
      <c r="Y95" s="126" t="n"/>
      <c r="Z95" s="126" t="n"/>
      <c r="AA95" s="126" t="n"/>
      <c r="AB95" s="126" t="n"/>
      <c r="AC95" s="126" t="n"/>
      <c r="AD95" s="126" t="n"/>
      <c r="AE95" s="126" t="n"/>
      <c r="AF95" s="126" t="n"/>
      <c r="AG95" s="126" t="n"/>
      <c r="AH95" s="126" t="n"/>
      <c r="AI95" s="126" t="n"/>
      <c r="AJ95" s="126" t="n"/>
      <c r="AK95" s="126" t="n"/>
      <c r="AL95" s="126" t="n"/>
      <c r="AM95" s="126" t="n"/>
      <c r="AN95" s="126" t="n"/>
      <c r="AO95" s="126" t="n"/>
      <c r="AP95" s="126" t="n"/>
      <c r="AQ95" s="126" t="n"/>
      <c r="AR95" s="126" t="n"/>
      <c r="AS95" s="126" t="n"/>
      <c r="AT95" s="126" t="n"/>
      <c r="AU95" s="126" t="n"/>
      <c r="AV95" s="126" t="n"/>
      <c r="AW95" s="126" t="n"/>
      <c r="AX95" s="126" t="n"/>
      <c r="AY95" s="126" t="n"/>
      <c r="AZ95" s="126" t="n"/>
      <c r="BA95" s="126" t="n"/>
      <c r="BB95" s="126" t="n"/>
      <c r="BC95" s="126" t="n"/>
      <c r="BD95" s="126" t="n"/>
      <c r="BE95" s="126" t="n"/>
      <c r="BF95" s="126" t="n"/>
      <c r="BG95" s="126" t="n"/>
    </row>
    <row r="96" ht="21.95" customFormat="1" customHeight="1" s="106">
      <c r="A96" s="393" t="inlineStr">
        <is>
          <t>รวมราคาค่าแรงและค่าวัสดุ 3</t>
        </is>
      </c>
      <c r="B96" s="588" t="n"/>
      <c r="C96" s="588" t="n"/>
      <c r="D96" s="588" t="n"/>
      <c r="E96" s="566" t="n"/>
      <c r="F96" s="572">
        <f>SUM(F34:F95)</f>
        <v/>
      </c>
      <c r="G96" s="572" t="n"/>
      <c r="H96" s="572">
        <f>SUM(H34:H95)</f>
        <v/>
      </c>
      <c r="I96" s="572">
        <f>SUM(I34:I95)</f>
        <v/>
      </c>
      <c r="J96" s="100" t="n"/>
      <c r="K96" s="153" t="n"/>
      <c r="L96" s="577" t="n"/>
      <c r="M96" s="578" t="n"/>
      <c r="N96" s="104" t="n"/>
      <c r="O96" s="104" t="n"/>
      <c r="P96" s="104" t="n"/>
      <c r="Q96" s="101" t="n"/>
      <c r="R96" s="101" t="n"/>
      <c r="S96" s="126" t="n"/>
      <c r="T96" s="126" t="n"/>
      <c r="U96" s="126" t="n"/>
      <c r="V96" s="126" t="n"/>
      <c r="W96" s="126" t="n"/>
      <c r="X96" s="126" t="n"/>
      <c r="Y96" s="126" t="n"/>
      <c r="Z96" s="126" t="n"/>
      <c r="AA96" s="126" t="n"/>
      <c r="AB96" s="126" t="n"/>
      <c r="AC96" s="126" t="n"/>
      <c r="AD96" s="126" t="n"/>
      <c r="AE96" s="126" t="n"/>
      <c r="AF96" s="126" t="n"/>
      <c r="AG96" s="126" t="n"/>
      <c r="AH96" s="126" t="n"/>
      <c r="AI96" s="126" t="n"/>
      <c r="AJ96" s="126" t="n"/>
      <c r="AK96" s="126" t="n"/>
      <c r="AL96" s="126" t="n"/>
      <c r="AM96" s="126" t="n"/>
      <c r="AN96" s="126" t="n"/>
      <c r="AO96" s="126" t="n"/>
      <c r="AP96" s="126" t="n"/>
      <c r="AQ96" s="126" t="n"/>
      <c r="AR96" s="126" t="n"/>
      <c r="AS96" s="126" t="n"/>
      <c r="AT96" s="126" t="n"/>
      <c r="AU96" s="126" t="n"/>
      <c r="AV96" s="126" t="n"/>
      <c r="AW96" s="126" t="n"/>
      <c r="AX96" s="126" t="n"/>
      <c r="AY96" s="126" t="n"/>
      <c r="AZ96" s="126" t="n"/>
      <c r="BA96" s="126" t="n"/>
      <c r="BB96" s="126" t="n"/>
      <c r="BC96" s="126" t="n"/>
      <c r="BD96" s="126" t="n"/>
      <c r="BE96" s="126" t="n"/>
      <c r="BF96" s="126" t="n"/>
      <c r="BG96" s="126" t="n"/>
    </row>
    <row r="97" ht="21.95" customFormat="1" customHeight="1" s="106">
      <c r="A97" s="140" t="n">
        <v>4</v>
      </c>
      <c r="B97" s="601" t="inlineStr">
        <is>
          <t>หมวดงานไฟฟ้า</t>
        </is>
      </c>
      <c r="C97" s="602" t="n"/>
      <c r="D97" s="603" t="n"/>
      <c r="E97" s="604" t="n"/>
      <c r="F97" s="604" t="n"/>
      <c r="G97" s="604" t="n"/>
      <c r="H97" s="604" t="n"/>
      <c r="I97" s="604" t="n"/>
      <c r="J97" s="100" t="n"/>
      <c r="K97" s="153" t="n"/>
      <c r="L97" s="577" t="n"/>
      <c r="M97" s="578" t="n"/>
      <c r="N97" s="104" t="n"/>
      <c r="O97" s="104" t="n"/>
      <c r="P97" s="104" t="n"/>
      <c r="Q97" s="101" t="n"/>
      <c r="R97" s="101" t="n"/>
      <c r="S97" s="126" t="n"/>
      <c r="T97" s="126" t="n"/>
      <c r="U97" s="126" t="n"/>
      <c r="V97" s="126" t="n"/>
      <c r="W97" s="126" t="n"/>
      <c r="X97" s="126" t="n"/>
      <c r="Y97" s="126" t="n"/>
      <c r="Z97" s="126" t="n"/>
      <c r="AA97" s="126" t="n"/>
      <c r="AB97" s="126" t="n"/>
      <c r="AC97" s="126" t="n"/>
      <c r="AD97" s="126" t="n"/>
      <c r="AE97" s="126" t="n"/>
      <c r="AF97" s="126" t="n"/>
      <c r="AG97" s="126" t="n"/>
      <c r="AH97" s="126" t="n"/>
      <c r="AI97" s="126" t="n"/>
      <c r="AJ97" s="126" t="n"/>
      <c r="AK97" s="126" t="n"/>
      <c r="AL97" s="126" t="n"/>
      <c r="AM97" s="126" t="n"/>
      <c r="AN97" s="126" t="n"/>
      <c r="AO97" s="126" t="n"/>
      <c r="AP97" s="126" t="n"/>
      <c r="AQ97" s="126" t="n"/>
      <c r="AR97" s="126" t="n"/>
      <c r="AS97" s="126" t="n"/>
      <c r="AT97" s="126" t="n"/>
      <c r="AU97" s="126" t="n"/>
      <c r="AV97" s="126" t="n"/>
      <c r="AW97" s="126" t="n"/>
      <c r="AX97" s="126" t="n"/>
      <c r="AY97" s="126" t="n"/>
      <c r="AZ97" s="126" t="n"/>
      <c r="BA97" s="126" t="n"/>
      <c r="BB97" s="126" t="n"/>
      <c r="BC97" s="126" t="n"/>
      <c r="BD97" s="126" t="n"/>
      <c r="BE97" s="126" t="n"/>
      <c r="BF97" s="126" t="n"/>
      <c r="BG97" s="126" t="n"/>
    </row>
    <row r="98" ht="21.95" customFormat="1" customHeight="1" s="106">
      <c r="A98" s="107" t="n">
        <v>4.1</v>
      </c>
      <c r="B98" s="579" t="inlineStr">
        <is>
          <t>งานไฟฟ้าส่องสว่าง</t>
        </is>
      </c>
      <c r="C98" s="580" t="n"/>
      <c r="D98" s="581" t="n"/>
      <c r="E98" s="582" t="n"/>
      <c r="F98" s="582">
        <f>C98*E98</f>
        <v/>
      </c>
      <c r="G98" s="582" t="n"/>
      <c r="H98" s="582">
        <f>C98*G98</f>
        <v/>
      </c>
      <c r="I98" s="582">
        <f>F98+H98</f>
        <v/>
      </c>
      <c r="J98" s="100" t="n"/>
      <c r="K98" s="153" t="n"/>
      <c r="L98" s="577" t="n"/>
      <c r="M98" s="578" t="n"/>
      <c r="N98" s="104" t="n"/>
      <c r="O98" s="104" t="n"/>
      <c r="P98" s="104" t="n"/>
      <c r="Q98" s="101" t="n"/>
      <c r="R98" s="101" t="n"/>
      <c r="S98" s="126" t="n"/>
      <c r="T98" s="126" t="n"/>
      <c r="U98" s="126" t="n"/>
      <c r="V98" s="126" t="n"/>
      <c r="W98" s="126" t="n"/>
      <c r="X98" s="126" t="n"/>
      <c r="Y98" s="126" t="n"/>
      <c r="Z98" s="126" t="n"/>
      <c r="AA98" s="126" t="n"/>
      <c r="AB98" s="126" t="n"/>
      <c r="AC98" s="126" t="n"/>
      <c r="AD98" s="126" t="n"/>
      <c r="AE98" s="126" t="n"/>
      <c r="AF98" s="126" t="n"/>
      <c r="AG98" s="126" t="n"/>
      <c r="AH98" s="126" t="n"/>
      <c r="AI98" s="126" t="n"/>
      <c r="AJ98" s="126" t="n"/>
      <c r="AK98" s="126" t="n"/>
      <c r="AL98" s="126" t="n"/>
      <c r="AM98" s="126" t="n"/>
      <c r="AN98" s="126" t="n"/>
      <c r="AO98" s="126" t="n"/>
      <c r="AP98" s="126" t="n"/>
      <c r="AQ98" s="126" t="n"/>
      <c r="AR98" s="126" t="n"/>
      <c r="AS98" s="126" t="n"/>
      <c r="AT98" s="126" t="n"/>
      <c r="AU98" s="126" t="n"/>
      <c r="AV98" s="126" t="n"/>
      <c r="AW98" s="126" t="n"/>
      <c r="AX98" s="126" t="n"/>
      <c r="AY98" s="126" t="n"/>
      <c r="AZ98" s="126" t="n"/>
      <c r="BA98" s="126" t="n"/>
      <c r="BB98" s="126" t="n"/>
      <c r="BC98" s="126" t="n"/>
      <c r="BD98" s="126" t="n"/>
      <c r="BE98" s="126" t="n"/>
      <c r="BF98" s="126" t="n"/>
      <c r="BG98" s="126" t="n"/>
    </row>
    <row r="99" ht="21.95" customFormat="1" customHeight="1" s="106">
      <c r="A99" s="114" t="n"/>
      <c r="B99" s="583" t="inlineStr">
        <is>
          <t xml:space="preserve"> - โคมไฟฟลูออเรสเซ็นต์ 1 x 9 วัตถ์แบบเปลือยหลอด LED</t>
        </is>
      </c>
      <c r="C99" s="580" t="n"/>
      <c r="D99" s="581" t="inlineStr">
        <is>
          <t>ชุด</t>
        </is>
      </c>
      <c r="E99" s="582" t="n"/>
      <c r="F99" s="582">
        <f>C99*E99</f>
        <v/>
      </c>
      <c r="G99" s="582" t="n"/>
      <c r="H99" s="582">
        <f>C99*G99</f>
        <v/>
      </c>
      <c r="I99" s="582">
        <f>F99+H99</f>
        <v/>
      </c>
      <c r="J99" s="100" t="n"/>
      <c r="K99" s="153" t="n"/>
      <c r="L99" s="577" t="n"/>
      <c r="M99" s="578" t="n"/>
      <c r="N99" s="104" t="n"/>
      <c r="O99" s="104" t="n"/>
      <c r="P99" s="104" t="n"/>
      <c r="Q99" s="101" t="n"/>
      <c r="R99" s="101" t="n"/>
      <c r="S99" s="126" t="n"/>
      <c r="T99" s="126" t="n"/>
      <c r="U99" s="126" t="n"/>
      <c r="V99" s="126" t="n"/>
      <c r="W99" s="126" t="n"/>
      <c r="X99" s="126" t="n"/>
      <c r="Y99" s="126" t="n"/>
      <c r="Z99" s="126" t="n"/>
      <c r="AA99" s="126" t="n"/>
      <c r="AB99" s="126" t="n"/>
      <c r="AC99" s="126" t="n"/>
      <c r="AD99" s="126" t="n"/>
      <c r="AE99" s="126" t="n"/>
      <c r="AF99" s="126" t="n"/>
      <c r="AG99" s="126" t="n"/>
      <c r="AH99" s="126" t="n"/>
      <c r="AI99" s="126" t="n"/>
      <c r="AJ99" s="126" t="n"/>
      <c r="AK99" s="126" t="n"/>
      <c r="AL99" s="126" t="n"/>
      <c r="AM99" s="126" t="n"/>
      <c r="AN99" s="126" t="n"/>
      <c r="AO99" s="126" t="n"/>
      <c r="AP99" s="126" t="n"/>
      <c r="AQ99" s="126" t="n"/>
      <c r="AR99" s="126" t="n"/>
      <c r="AS99" s="126" t="n"/>
      <c r="AT99" s="126" t="n"/>
      <c r="AU99" s="126" t="n"/>
      <c r="AV99" s="126" t="n"/>
      <c r="AW99" s="126" t="n"/>
      <c r="AX99" s="126" t="n"/>
      <c r="AY99" s="126" t="n"/>
      <c r="AZ99" s="126" t="n"/>
      <c r="BA99" s="126" t="n"/>
      <c r="BB99" s="126" t="n"/>
      <c r="BC99" s="126" t="n"/>
      <c r="BD99" s="126" t="n"/>
      <c r="BE99" s="126" t="n"/>
      <c r="BF99" s="126" t="n"/>
      <c r="BG99" s="126" t="n"/>
    </row>
    <row r="100" ht="21.95" customFormat="1" customHeight="1" s="106">
      <c r="A100" s="114" t="n"/>
      <c r="B100" s="583" t="inlineStr">
        <is>
          <t xml:space="preserve"> - โคมไฟฟลูออเรสเซ็นต์ 1 x 9 วัตถ์แบบมีฝาครอบหลอด LED</t>
        </is>
      </c>
      <c r="C100" s="580" t="n"/>
      <c r="D100" s="581" t="inlineStr">
        <is>
          <t>ชุด</t>
        </is>
      </c>
      <c r="E100" s="582" t="n"/>
      <c r="F100" s="582">
        <f>C100*E100</f>
        <v/>
      </c>
      <c r="G100" s="582" t="n"/>
      <c r="H100" s="582">
        <f>C100*G100</f>
        <v/>
      </c>
      <c r="I100" s="582">
        <f>F100+H100</f>
        <v/>
      </c>
      <c r="J100" s="100" t="n"/>
      <c r="K100" s="153" t="n"/>
      <c r="L100" s="577" t="n"/>
      <c r="M100" s="578" t="n"/>
      <c r="N100" s="104" t="n"/>
      <c r="O100" s="104" t="n"/>
      <c r="P100" s="104" t="n"/>
      <c r="Q100" s="101" t="n"/>
      <c r="R100" s="101" t="n"/>
      <c r="S100" s="126" t="n"/>
      <c r="T100" s="126" t="n"/>
      <c r="U100" s="126" t="n"/>
      <c r="V100" s="126" t="n"/>
      <c r="W100" s="126" t="n"/>
      <c r="X100" s="126" t="n"/>
      <c r="Y100" s="126" t="n"/>
      <c r="Z100" s="126" t="n"/>
      <c r="AA100" s="126" t="n"/>
      <c r="AB100" s="126" t="n"/>
      <c r="AC100" s="126" t="n"/>
      <c r="AD100" s="126" t="n"/>
      <c r="AE100" s="126" t="n"/>
      <c r="AF100" s="126" t="n"/>
      <c r="AG100" s="126" t="n"/>
      <c r="AH100" s="126" t="n"/>
      <c r="AI100" s="126" t="n"/>
      <c r="AJ100" s="126" t="n"/>
      <c r="AK100" s="126" t="n"/>
      <c r="AL100" s="126" t="n"/>
      <c r="AM100" s="126" t="n"/>
      <c r="AN100" s="126" t="n"/>
      <c r="AO100" s="126" t="n"/>
      <c r="AP100" s="126" t="n"/>
      <c r="AQ100" s="126" t="n"/>
      <c r="AR100" s="126" t="n"/>
      <c r="AS100" s="126" t="n"/>
      <c r="AT100" s="126" t="n"/>
      <c r="AU100" s="126" t="n"/>
      <c r="AV100" s="126" t="n"/>
      <c r="AW100" s="126" t="n"/>
      <c r="AX100" s="126" t="n"/>
      <c r="AY100" s="126" t="n"/>
      <c r="AZ100" s="126" t="n"/>
      <c r="BA100" s="126" t="n"/>
      <c r="BB100" s="126" t="n"/>
      <c r="BC100" s="126" t="n"/>
      <c r="BD100" s="126" t="n"/>
      <c r="BE100" s="126" t="n"/>
      <c r="BF100" s="126" t="n"/>
      <c r="BG100" s="126" t="n"/>
    </row>
    <row r="101" ht="21.95" customFormat="1" customHeight="1" s="106">
      <c r="A101" s="114" t="n"/>
      <c r="B101" s="605" t="inlineStr">
        <is>
          <t xml:space="preserve"> - โคมไฟฟลูออเรสเซ็นต์ 1 x 18 วัตถ์แบบเปลือยหลอด LED</t>
        </is>
      </c>
      <c r="C101" s="606" t="n"/>
      <c r="D101" s="581" t="inlineStr">
        <is>
          <t>ชุด</t>
        </is>
      </c>
      <c r="E101" s="589" t="n"/>
      <c r="F101" s="589">
        <f>C101*E101</f>
        <v/>
      </c>
      <c r="G101" s="589" t="n"/>
      <c r="H101" s="589">
        <f>C101*G101</f>
        <v/>
      </c>
      <c r="I101" s="589">
        <f>F101+H101</f>
        <v/>
      </c>
      <c r="J101" s="100" t="n"/>
      <c r="K101" s="153" t="n"/>
      <c r="L101" s="577" t="n"/>
      <c r="M101" s="578" t="n"/>
      <c r="N101" s="104" t="n"/>
      <c r="O101" s="104" t="n"/>
      <c r="P101" s="104" t="n"/>
      <c r="Q101" s="101" t="n"/>
      <c r="R101" s="101" t="n"/>
      <c r="S101" s="126" t="n"/>
      <c r="T101" s="126" t="n"/>
      <c r="U101" s="126" t="n"/>
      <c r="V101" s="126" t="n"/>
      <c r="W101" s="126" t="n"/>
      <c r="X101" s="126" t="n"/>
      <c r="Y101" s="126" t="n"/>
      <c r="Z101" s="126" t="n"/>
      <c r="AA101" s="126" t="n"/>
      <c r="AB101" s="126" t="n"/>
      <c r="AC101" s="126" t="n"/>
      <c r="AD101" s="126" t="n"/>
      <c r="AE101" s="126" t="n"/>
      <c r="AF101" s="126" t="n"/>
      <c r="AG101" s="126" t="n"/>
      <c r="AH101" s="126" t="n"/>
      <c r="AI101" s="126" t="n"/>
      <c r="AJ101" s="126" t="n"/>
      <c r="AK101" s="126" t="n"/>
      <c r="AL101" s="126" t="n"/>
      <c r="AM101" s="126" t="n"/>
      <c r="AN101" s="126" t="n"/>
      <c r="AO101" s="126" t="n"/>
      <c r="AP101" s="126" t="n"/>
      <c r="AQ101" s="126" t="n"/>
      <c r="AR101" s="126" t="n"/>
      <c r="AS101" s="126" t="n"/>
      <c r="AT101" s="126" t="n"/>
      <c r="AU101" s="126" t="n"/>
      <c r="AV101" s="126" t="n"/>
      <c r="AW101" s="126" t="n"/>
      <c r="AX101" s="126" t="n"/>
      <c r="AY101" s="126" t="n"/>
      <c r="AZ101" s="126" t="n"/>
      <c r="BA101" s="126" t="n"/>
      <c r="BB101" s="126" t="n"/>
      <c r="BC101" s="126" t="n"/>
      <c r="BD101" s="126" t="n"/>
      <c r="BE101" s="126" t="n"/>
      <c r="BF101" s="126" t="n"/>
      <c r="BG101" s="126" t="n"/>
    </row>
    <row r="102" ht="21.95" customFormat="1" customHeight="1" s="106">
      <c r="A102" s="114" t="n"/>
      <c r="B102" s="605" t="inlineStr">
        <is>
          <t xml:space="preserve"> - โคมไฟดาวน์ไลท์ขนาด 6" หลอดคอมแพ็ค 18 วัตต์</t>
        </is>
      </c>
      <c r="C102" s="606" t="n"/>
      <c r="D102" s="581" t="inlineStr">
        <is>
          <t>ชุด</t>
        </is>
      </c>
      <c r="E102" s="589" t="n"/>
      <c r="F102" s="589">
        <f>C102*E102</f>
        <v/>
      </c>
      <c r="G102" s="589" t="n"/>
      <c r="H102" s="589">
        <f>C102*G102</f>
        <v/>
      </c>
      <c r="I102" s="589">
        <f>F102+H102</f>
        <v/>
      </c>
      <c r="J102" s="100" t="n"/>
      <c r="K102" s="153" t="n"/>
      <c r="L102" s="577" t="n"/>
      <c r="M102" s="578" t="n"/>
      <c r="N102" s="104" t="n"/>
      <c r="O102" s="104" t="n"/>
      <c r="P102" s="104" t="n"/>
      <c r="Q102" s="101" t="n"/>
      <c r="R102" s="101" t="n"/>
      <c r="S102" s="126" t="n"/>
      <c r="T102" s="126" t="n"/>
      <c r="U102" s="126" t="n"/>
      <c r="V102" s="126" t="n"/>
      <c r="W102" s="126" t="n"/>
      <c r="X102" s="126" t="n"/>
      <c r="Y102" s="126" t="n"/>
      <c r="Z102" s="126" t="n"/>
      <c r="AA102" s="126" t="n"/>
      <c r="AB102" s="126" t="n"/>
      <c r="AC102" s="126" t="n"/>
      <c r="AD102" s="126" t="n"/>
      <c r="AE102" s="126" t="n"/>
      <c r="AF102" s="126" t="n"/>
      <c r="AG102" s="126" t="n"/>
      <c r="AH102" s="126" t="n"/>
      <c r="AI102" s="126" t="n"/>
      <c r="AJ102" s="126" t="n"/>
      <c r="AK102" s="126" t="n"/>
      <c r="AL102" s="126" t="n"/>
      <c r="AM102" s="126" t="n"/>
      <c r="AN102" s="126" t="n"/>
      <c r="AO102" s="126" t="n"/>
      <c r="AP102" s="126" t="n"/>
      <c r="AQ102" s="126" t="n"/>
      <c r="AR102" s="126" t="n"/>
      <c r="AS102" s="126" t="n"/>
      <c r="AT102" s="126" t="n"/>
      <c r="AU102" s="126" t="n"/>
      <c r="AV102" s="126" t="n"/>
      <c r="AW102" s="126" t="n"/>
      <c r="AX102" s="126" t="n"/>
      <c r="AY102" s="126" t="n"/>
      <c r="AZ102" s="126" t="n"/>
      <c r="BA102" s="126" t="n"/>
      <c r="BB102" s="126" t="n"/>
      <c r="BC102" s="126" t="n"/>
      <c r="BD102" s="126" t="n"/>
      <c r="BE102" s="126" t="n"/>
      <c r="BF102" s="126" t="n"/>
      <c r="BG102" s="126" t="n"/>
    </row>
    <row r="103" ht="21.95" customFormat="1" customHeight="1" s="106">
      <c r="A103" s="114" t="n"/>
      <c r="B103" s="605" t="inlineStr">
        <is>
          <t xml:space="preserve"> - โคมไฟกิ่งติดผนัง ( โคมไฟประดับ )</t>
        </is>
      </c>
      <c r="C103" s="606" t="n"/>
      <c r="D103" s="581" t="inlineStr">
        <is>
          <t>ชุด</t>
        </is>
      </c>
      <c r="E103" s="589" t="n"/>
      <c r="F103" s="589">
        <f>C103*E103</f>
        <v/>
      </c>
      <c r="G103" s="589" t="n"/>
      <c r="H103" s="589">
        <f>C103*G103</f>
        <v/>
      </c>
      <c r="I103" s="589">
        <f>F103+H103</f>
        <v/>
      </c>
      <c r="J103" s="100" t="n"/>
      <c r="K103" s="153" t="n"/>
      <c r="L103" s="577" t="n"/>
      <c r="M103" s="578" t="n"/>
      <c r="N103" s="104" t="n"/>
      <c r="O103" s="104" t="n"/>
      <c r="P103" s="104" t="n"/>
      <c r="Q103" s="101" t="n"/>
      <c r="R103" s="101" t="n"/>
      <c r="S103" s="126" t="n"/>
      <c r="T103" s="126" t="n"/>
      <c r="U103" s="126" t="n"/>
      <c r="V103" s="126" t="n"/>
      <c r="W103" s="126" t="n"/>
      <c r="X103" s="126" t="n"/>
      <c r="Y103" s="126" t="n"/>
      <c r="Z103" s="126" t="n"/>
      <c r="AA103" s="126" t="n"/>
      <c r="AB103" s="126" t="n"/>
      <c r="AC103" s="126" t="n"/>
      <c r="AD103" s="126" t="n"/>
      <c r="AE103" s="126" t="n"/>
      <c r="AF103" s="126" t="n"/>
      <c r="AG103" s="126" t="n"/>
      <c r="AH103" s="126" t="n"/>
      <c r="AI103" s="126" t="n"/>
      <c r="AJ103" s="126" t="n"/>
      <c r="AK103" s="126" t="n"/>
      <c r="AL103" s="126" t="n"/>
      <c r="AM103" s="126" t="n"/>
      <c r="AN103" s="126" t="n"/>
      <c r="AO103" s="126" t="n"/>
      <c r="AP103" s="126" t="n"/>
      <c r="AQ103" s="126" t="n"/>
      <c r="AR103" s="126" t="n"/>
      <c r="AS103" s="126" t="n"/>
      <c r="AT103" s="126" t="n"/>
      <c r="AU103" s="126" t="n"/>
      <c r="AV103" s="126" t="n"/>
      <c r="AW103" s="126" t="n"/>
      <c r="AX103" s="126" t="n"/>
      <c r="AY103" s="126" t="n"/>
      <c r="AZ103" s="126" t="n"/>
      <c r="BA103" s="126" t="n"/>
      <c r="BB103" s="126" t="n"/>
      <c r="BC103" s="126" t="n"/>
      <c r="BD103" s="126" t="n"/>
      <c r="BE103" s="126" t="n"/>
      <c r="BF103" s="126" t="n"/>
      <c r="BG103" s="126" t="n"/>
    </row>
    <row r="104" ht="21.95" customFormat="1" customHeight="1" s="106">
      <c r="A104" s="114" t="n"/>
      <c r="B104" s="605" t="inlineStr">
        <is>
          <t xml:space="preserve"> - สวิตซ์ไฟแบบเดี่ยว</t>
        </is>
      </c>
      <c r="C104" s="606" t="n"/>
      <c r="D104" s="581" t="inlineStr">
        <is>
          <t>ชุด</t>
        </is>
      </c>
      <c r="E104" s="589" t="n"/>
      <c r="F104" s="589">
        <f>C104*E104</f>
        <v/>
      </c>
      <c r="G104" s="589" t="n"/>
      <c r="H104" s="589">
        <f>C104*G104</f>
        <v/>
      </c>
      <c r="I104" s="589">
        <f>F104+H104</f>
        <v/>
      </c>
      <c r="J104" s="100" t="n"/>
      <c r="K104" s="153" t="n"/>
      <c r="L104" s="577" t="n"/>
      <c r="M104" s="578" t="n"/>
      <c r="N104" s="104" t="n"/>
      <c r="O104" s="104" t="n"/>
      <c r="P104" s="104" t="n"/>
      <c r="Q104" s="101" t="n"/>
      <c r="R104" s="101" t="n"/>
      <c r="S104" s="126" t="n"/>
      <c r="T104" s="126" t="n"/>
      <c r="U104" s="126" t="n"/>
      <c r="V104" s="126" t="n"/>
      <c r="W104" s="126" t="n"/>
      <c r="X104" s="126" t="n"/>
      <c r="Y104" s="126" t="n"/>
      <c r="Z104" s="126" t="n"/>
      <c r="AA104" s="126" t="n"/>
      <c r="AB104" s="126" t="n"/>
      <c r="AC104" s="126" t="n"/>
      <c r="AD104" s="126" t="n"/>
      <c r="AE104" s="126" t="n"/>
      <c r="AF104" s="126" t="n"/>
      <c r="AG104" s="126" t="n"/>
      <c r="AH104" s="126" t="n"/>
      <c r="AI104" s="126" t="n"/>
      <c r="AJ104" s="126" t="n"/>
      <c r="AK104" s="126" t="n"/>
      <c r="AL104" s="126" t="n"/>
      <c r="AM104" s="126" t="n"/>
      <c r="AN104" s="126" t="n"/>
      <c r="AO104" s="126" t="n"/>
      <c r="AP104" s="126" t="n"/>
      <c r="AQ104" s="126" t="n"/>
      <c r="AR104" s="126" t="n"/>
      <c r="AS104" s="126" t="n"/>
      <c r="AT104" s="126" t="n"/>
      <c r="AU104" s="126" t="n"/>
      <c r="AV104" s="126" t="n"/>
      <c r="AW104" s="126" t="n"/>
      <c r="AX104" s="126" t="n"/>
      <c r="AY104" s="126" t="n"/>
      <c r="AZ104" s="126" t="n"/>
      <c r="BA104" s="126" t="n"/>
      <c r="BB104" s="126" t="n"/>
      <c r="BC104" s="126" t="n"/>
      <c r="BD104" s="126" t="n"/>
      <c r="BE104" s="126" t="n"/>
      <c r="BF104" s="126" t="n"/>
      <c r="BG104" s="126" t="n"/>
    </row>
    <row r="105" ht="21.95" customFormat="1" customHeight="1" s="106">
      <c r="A105" s="114" t="n"/>
      <c r="B105" s="605" t="inlineStr">
        <is>
          <t xml:space="preserve"> - สวิตซ์ไฟแบบสองทาง</t>
        </is>
      </c>
      <c r="C105" s="606" t="n"/>
      <c r="D105" s="581" t="inlineStr">
        <is>
          <t>ชุด</t>
        </is>
      </c>
      <c r="E105" s="589" t="n"/>
      <c r="F105" s="589">
        <f>C105*E105</f>
        <v/>
      </c>
      <c r="G105" s="589" t="n"/>
      <c r="H105" s="589">
        <f>C105*G105</f>
        <v/>
      </c>
      <c r="I105" s="589">
        <f>F105+H105</f>
        <v/>
      </c>
      <c r="J105" s="100" t="n"/>
      <c r="K105" s="153" t="n"/>
      <c r="L105" s="577" t="n"/>
      <c r="M105" s="578" t="n"/>
      <c r="N105" s="104" t="n"/>
      <c r="O105" s="104" t="n"/>
      <c r="P105" s="104" t="n"/>
      <c r="Q105" s="101" t="n"/>
      <c r="R105" s="101" t="n"/>
      <c r="S105" s="126" t="n"/>
      <c r="T105" s="126" t="n"/>
      <c r="U105" s="126" t="n"/>
      <c r="V105" s="126" t="n"/>
      <c r="W105" s="126" t="n"/>
      <c r="X105" s="126" t="n"/>
      <c r="Y105" s="126" t="n"/>
      <c r="Z105" s="126" t="n"/>
      <c r="AA105" s="126" t="n"/>
      <c r="AB105" s="126" t="n"/>
      <c r="AC105" s="126" t="n"/>
      <c r="AD105" s="126" t="n"/>
      <c r="AE105" s="126" t="n"/>
      <c r="AF105" s="126" t="n"/>
      <c r="AG105" s="126" t="n"/>
      <c r="AH105" s="126" t="n"/>
      <c r="AI105" s="126" t="n"/>
      <c r="AJ105" s="126" t="n"/>
      <c r="AK105" s="126" t="n"/>
      <c r="AL105" s="126" t="n"/>
      <c r="AM105" s="126" t="n"/>
      <c r="AN105" s="126" t="n"/>
      <c r="AO105" s="126" t="n"/>
      <c r="AP105" s="126" t="n"/>
      <c r="AQ105" s="126" t="n"/>
      <c r="AR105" s="126" t="n"/>
      <c r="AS105" s="126" t="n"/>
      <c r="AT105" s="126" t="n"/>
      <c r="AU105" s="126" t="n"/>
      <c r="AV105" s="126" t="n"/>
      <c r="AW105" s="126" t="n"/>
      <c r="AX105" s="126" t="n"/>
      <c r="AY105" s="126" t="n"/>
      <c r="AZ105" s="126" t="n"/>
      <c r="BA105" s="126" t="n"/>
      <c r="BB105" s="126" t="n"/>
      <c r="BC105" s="126" t="n"/>
      <c r="BD105" s="126" t="n"/>
      <c r="BE105" s="126" t="n"/>
      <c r="BF105" s="126" t="n"/>
      <c r="BG105" s="126" t="n"/>
    </row>
    <row r="106" ht="21.95" customFormat="1" customHeight="1" s="106">
      <c r="A106" s="107" t="n">
        <v>4.2</v>
      </c>
      <c r="B106" s="607" t="inlineStr">
        <is>
          <t>งานไฟฟ้ากำลัง</t>
        </is>
      </c>
      <c r="C106" s="580" t="n"/>
      <c r="D106" s="581" t="n"/>
      <c r="E106" s="582" t="n"/>
      <c r="F106" s="589">
        <f>C106*E106</f>
        <v/>
      </c>
      <c r="G106" s="582" t="n"/>
      <c r="H106" s="589">
        <f>C106*G106</f>
        <v/>
      </c>
      <c r="I106" s="589">
        <f>F106+H106</f>
        <v/>
      </c>
      <c r="J106" s="100" t="n"/>
      <c r="K106" s="153" t="n"/>
      <c r="L106" s="577" t="n"/>
      <c r="M106" s="578" t="n"/>
      <c r="N106" s="104" t="n"/>
      <c r="O106" s="104" t="n"/>
      <c r="P106" s="104" t="n"/>
      <c r="Q106" s="101" t="n"/>
      <c r="R106" s="101" t="n"/>
      <c r="S106" s="126" t="n"/>
      <c r="T106" s="126" t="n"/>
      <c r="U106" s="126" t="n"/>
      <c r="V106" s="126" t="n"/>
      <c r="W106" s="126" t="n"/>
      <c r="X106" s="126" t="n"/>
      <c r="Y106" s="126" t="n"/>
      <c r="Z106" s="126" t="n"/>
      <c r="AA106" s="126" t="n"/>
      <c r="AB106" s="126" t="n"/>
      <c r="AC106" s="126" t="n"/>
      <c r="AD106" s="126" t="n"/>
      <c r="AE106" s="126" t="n"/>
      <c r="AF106" s="126" t="n"/>
      <c r="AG106" s="126" t="n"/>
      <c r="AH106" s="126" t="n"/>
      <c r="AI106" s="126" t="n"/>
      <c r="AJ106" s="126" t="n"/>
      <c r="AK106" s="126" t="n"/>
      <c r="AL106" s="126" t="n"/>
      <c r="AM106" s="126" t="n"/>
      <c r="AN106" s="126" t="n"/>
      <c r="AO106" s="126" t="n"/>
      <c r="AP106" s="126" t="n"/>
      <c r="AQ106" s="126" t="n"/>
      <c r="AR106" s="126" t="n"/>
      <c r="AS106" s="126" t="n"/>
      <c r="AT106" s="126" t="n"/>
      <c r="AU106" s="126" t="n"/>
      <c r="AV106" s="126" t="n"/>
      <c r="AW106" s="126" t="n"/>
      <c r="AX106" s="126" t="n"/>
      <c r="AY106" s="126" t="n"/>
      <c r="AZ106" s="126" t="n"/>
      <c r="BA106" s="126" t="n"/>
      <c r="BB106" s="126" t="n"/>
      <c r="BC106" s="126" t="n"/>
      <c r="BD106" s="126" t="n"/>
      <c r="BE106" s="126" t="n"/>
      <c r="BF106" s="126" t="n"/>
      <c r="BG106" s="126" t="n"/>
    </row>
    <row r="107" ht="21.95" customFormat="1" customHeight="1" s="106">
      <c r="A107" s="112" t="n"/>
      <c r="B107" s="605" t="inlineStr">
        <is>
          <t xml:space="preserve"> - ปลั๊กไฟฟ้าชนิด 1 ชุด สองเต้าเสียบ</t>
        </is>
      </c>
      <c r="C107" s="606" t="n"/>
      <c r="D107" s="581" t="inlineStr">
        <is>
          <t>ชุด</t>
        </is>
      </c>
      <c r="E107" s="589" t="n"/>
      <c r="F107" s="589">
        <f>C107*E107</f>
        <v/>
      </c>
      <c r="G107" s="589" t="n"/>
      <c r="H107" s="589">
        <f>C107*G107</f>
        <v/>
      </c>
      <c r="I107" s="589">
        <f>F107+H107</f>
        <v/>
      </c>
      <c r="J107" s="100" t="n"/>
      <c r="K107" s="153" t="n"/>
      <c r="L107" s="577" t="n"/>
      <c r="M107" s="578" t="n"/>
      <c r="N107" s="104" t="n"/>
      <c r="O107" s="104" t="n"/>
      <c r="P107" s="104" t="n"/>
      <c r="Q107" s="101" t="n"/>
      <c r="R107" s="101" t="n"/>
      <c r="S107" s="126" t="n"/>
      <c r="T107" s="126" t="n"/>
      <c r="U107" s="126" t="n"/>
      <c r="V107" s="126" t="n"/>
      <c r="W107" s="126" t="n"/>
      <c r="X107" s="126" t="n"/>
      <c r="Y107" s="126" t="n"/>
      <c r="Z107" s="126" t="n"/>
      <c r="AA107" s="126" t="n"/>
      <c r="AB107" s="126" t="n"/>
      <c r="AC107" s="126" t="n"/>
      <c r="AD107" s="126" t="n"/>
      <c r="AE107" s="126" t="n"/>
      <c r="AF107" s="126" t="n"/>
      <c r="AG107" s="126" t="n"/>
      <c r="AH107" s="126" t="n"/>
      <c r="AI107" s="126" t="n"/>
      <c r="AJ107" s="126" t="n"/>
      <c r="AK107" s="126" t="n"/>
      <c r="AL107" s="126" t="n"/>
      <c r="AM107" s="126" t="n"/>
      <c r="AN107" s="126" t="n"/>
      <c r="AO107" s="126" t="n"/>
      <c r="AP107" s="126" t="n"/>
      <c r="AQ107" s="126" t="n"/>
      <c r="AR107" s="126" t="n"/>
      <c r="AS107" s="126" t="n"/>
      <c r="AT107" s="126" t="n"/>
      <c r="AU107" s="126" t="n"/>
      <c r="AV107" s="126" t="n"/>
      <c r="AW107" s="126" t="n"/>
      <c r="AX107" s="126" t="n"/>
      <c r="AY107" s="126" t="n"/>
      <c r="AZ107" s="126" t="n"/>
      <c r="BA107" s="126" t="n"/>
      <c r="BB107" s="126" t="n"/>
      <c r="BC107" s="126" t="n"/>
      <c r="BD107" s="126" t="n"/>
      <c r="BE107" s="126" t="n"/>
      <c r="BF107" s="126" t="n"/>
      <c r="BG107" s="126" t="n"/>
    </row>
    <row r="108" ht="21.95" customFormat="1" customHeight="1" s="106">
      <c r="A108" s="107" t="n">
        <v>4.3</v>
      </c>
      <c r="B108" s="608" t="inlineStr">
        <is>
          <t>งานสายไฟ</t>
        </is>
      </c>
      <c r="C108" s="606" t="n"/>
      <c r="D108" s="581" t="n"/>
      <c r="E108" s="589" t="n"/>
      <c r="F108" s="589">
        <f>C108*E108</f>
        <v/>
      </c>
      <c r="G108" s="589" t="n"/>
      <c r="H108" s="589">
        <f>C108*G108</f>
        <v/>
      </c>
      <c r="I108" s="589">
        <f>F108+H108</f>
        <v/>
      </c>
      <c r="J108" s="100" t="n"/>
      <c r="K108" s="153" t="n"/>
      <c r="L108" s="577" t="n"/>
      <c r="M108" s="578" t="n"/>
      <c r="N108" s="104" t="n"/>
      <c r="O108" s="104" t="n"/>
      <c r="P108" s="104" t="n"/>
      <c r="Q108" s="101" t="n"/>
      <c r="R108" s="101" t="n"/>
      <c r="S108" s="126" t="n"/>
      <c r="T108" s="126" t="n"/>
      <c r="U108" s="126" t="n"/>
      <c r="V108" s="126" t="n"/>
      <c r="W108" s="126" t="n"/>
      <c r="X108" s="126" t="n"/>
      <c r="Y108" s="126" t="n"/>
      <c r="Z108" s="126" t="n"/>
      <c r="AA108" s="126" t="n"/>
      <c r="AB108" s="126" t="n"/>
      <c r="AC108" s="126" t="n"/>
      <c r="AD108" s="126" t="n"/>
      <c r="AE108" s="126" t="n"/>
      <c r="AF108" s="126" t="n"/>
      <c r="AG108" s="126" t="n"/>
      <c r="AH108" s="126" t="n"/>
      <c r="AI108" s="126" t="n"/>
      <c r="AJ108" s="126" t="n"/>
      <c r="AK108" s="126" t="n"/>
      <c r="AL108" s="126" t="n"/>
      <c r="AM108" s="126" t="n"/>
      <c r="AN108" s="126" t="n"/>
      <c r="AO108" s="126" t="n"/>
      <c r="AP108" s="126" t="n"/>
      <c r="AQ108" s="126" t="n"/>
      <c r="AR108" s="126" t="n"/>
      <c r="AS108" s="126" t="n"/>
      <c r="AT108" s="126" t="n"/>
      <c r="AU108" s="126" t="n"/>
      <c r="AV108" s="126" t="n"/>
      <c r="AW108" s="126" t="n"/>
      <c r="AX108" s="126" t="n"/>
      <c r="AY108" s="126" t="n"/>
      <c r="AZ108" s="126" t="n"/>
      <c r="BA108" s="126" t="n"/>
      <c r="BB108" s="126" t="n"/>
      <c r="BC108" s="126" t="n"/>
      <c r="BD108" s="126" t="n"/>
      <c r="BE108" s="126" t="n"/>
      <c r="BF108" s="126" t="n"/>
      <c r="BG108" s="126" t="n"/>
    </row>
    <row r="109" ht="21.95" customFormat="1" customHeight="1" s="106">
      <c r="A109" s="107" t="n"/>
      <c r="B109" s="605" t="inlineStr">
        <is>
          <t xml:space="preserve"> -  งานสายไฟสำหรับดวงโคม</t>
        </is>
      </c>
      <c r="C109" s="606">
        <f>C99+C100+C101+C102+C103</f>
        <v/>
      </c>
      <c r="D109" s="581" t="inlineStr">
        <is>
          <t>จุด</t>
        </is>
      </c>
      <c r="E109" s="589" t="n"/>
      <c r="F109" s="589">
        <f>C109*E109</f>
        <v/>
      </c>
      <c r="G109" s="589" t="n"/>
      <c r="H109" s="589">
        <f>C109*G109</f>
        <v/>
      </c>
      <c r="I109" s="589">
        <f>F109+H109</f>
        <v/>
      </c>
      <c r="J109" s="100" t="n"/>
      <c r="K109" s="153" t="n"/>
      <c r="L109" s="577" t="n"/>
      <c r="M109" s="578" t="n"/>
      <c r="N109" s="104" t="n"/>
      <c r="O109" s="104" t="n"/>
      <c r="P109" s="104" t="n"/>
      <c r="Q109" s="101" t="n"/>
      <c r="R109" s="101" t="n"/>
      <c r="S109" s="126" t="n"/>
      <c r="T109" s="126" t="n"/>
      <c r="U109" s="126" t="n"/>
      <c r="V109" s="126" t="n"/>
      <c r="W109" s="126" t="n"/>
      <c r="X109" s="126" t="n"/>
      <c r="Y109" s="126" t="n"/>
      <c r="Z109" s="126" t="n"/>
      <c r="AA109" s="126" t="n"/>
      <c r="AB109" s="126" t="n"/>
      <c r="AC109" s="126" t="n"/>
      <c r="AD109" s="126" t="n"/>
      <c r="AE109" s="126" t="n"/>
      <c r="AF109" s="126" t="n"/>
      <c r="AG109" s="126" t="n"/>
      <c r="AH109" s="126" t="n"/>
      <c r="AI109" s="126" t="n"/>
      <c r="AJ109" s="126" t="n"/>
      <c r="AK109" s="126" t="n"/>
      <c r="AL109" s="126" t="n"/>
      <c r="AM109" s="126" t="n"/>
      <c r="AN109" s="126" t="n"/>
      <c r="AO109" s="126" t="n"/>
      <c r="AP109" s="126" t="n"/>
      <c r="AQ109" s="126" t="n"/>
      <c r="AR109" s="126" t="n"/>
      <c r="AS109" s="126" t="n"/>
      <c r="AT109" s="126" t="n"/>
      <c r="AU109" s="126" t="n"/>
      <c r="AV109" s="126" t="n"/>
      <c r="AW109" s="126" t="n"/>
      <c r="AX109" s="126" t="n"/>
      <c r="AY109" s="126" t="n"/>
      <c r="AZ109" s="126" t="n"/>
      <c r="BA109" s="126" t="n"/>
      <c r="BB109" s="126" t="n"/>
      <c r="BC109" s="126" t="n"/>
      <c r="BD109" s="126" t="n"/>
      <c r="BE109" s="126" t="n"/>
      <c r="BF109" s="126" t="n"/>
      <c r="BG109" s="126" t="n"/>
    </row>
    <row r="110" ht="21.95" customFormat="1" customHeight="1" s="106">
      <c r="A110" s="112" t="n"/>
      <c r="B110" s="605" t="inlineStr">
        <is>
          <t xml:space="preserve"> - งานสายไฟสวิตซ์</t>
        </is>
      </c>
      <c r="C110" s="606" t="n"/>
      <c r="D110" s="581" t="inlineStr">
        <is>
          <t>จุด</t>
        </is>
      </c>
      <c r="E110" s="589" t="n"/>
      <c r="F110" s="589">
        <f>C110*E110</f>
        <v/>
      </c>
      <c r="G110" s="589" t="n"/>
      <c r="H110" s="589">
        <f>C110*G110</f>
        <v/>
      </c>
      <c r="I110" s="589">
        <f>F110+H110</f>
        <v/>
      </c>
      <c r="J110" s="100" t="n"/>
      <c r="K110" s="153" t="n"/>
      <c r="L110" s="577" t="n"/>
      <c r="M110" s="578" t="n"/>
      <c r="N110" s="104" t="n"/>
      <c r="O110" s="104" t="n"/>
      <c r="P110" s="104" t="n"/>
      <c r="Q110" s="101" t="n"/>
      <c r="R110" s="101" t="n"/>
      <c r="S110" s="126" t="n"/>
      <c r="T110" s="126" t="n"/>
      <c r="U110" s="126" t="n"/>
      <c r="V110" s="126" t="n"/>
      <c r="W110" s="126" t="n"/>
      <c r="X110" s="126" t="n"/>
      <c r="Y110" s="126" t="n"/>
      <c r="Z110" s="126" t="n"/>
      <c r="AA110" s="126" t="n"/>
      <c r="AB110" s="126" t="n"/>
      <c r="AC110" s="126" t="n"/>
      <c r="AD110" s="126" t="n"/>
      <c r="AE110" s="126" t="n"/>
      <c r="AF110" s="126" t="n"/>
      <c r="AG110" s="126" t="n"/>
      <c r="AH110" s="126" t="n"/>
      <c r="AI110" s="126" t="n"/>
      <c r="AJ110" s="126" t="n"/>
      <c r="AK110" s="126" t="n"/>
      <c r="AL110" s="126" t="n"/>
      <c r="AM110" s="126" t="n"/>
      <c r="AN110" s="126" t="n"/>
      <c r="AO110" s="126" t="n"/>
      <c r="AP110" s="126" t="n"/>
      <c r="AQ110" s="126" t="n"/>
      <c r="AR110" s="126" t="n"/>
      <c r="AS110" s="126" t="n"/>
      <c r="AT110" s="126" t="n"/>
      <c r="AU110" s="126" t="n"/>
      <c r="AV110" s="126" t="n"/>
      <c r="AW110" s="126" t="n"/>
      <c r="AX110" s="126" t="n"/>
      <c r="AY110" s="126" t="n"/>
      <c r="AZ110" s="126" t="n"/>
      <c r="BA110" s="126" t="n"/>
      <c r="BB110" s="126" t="n"/>
      <c r="BC110" s="126" t="n"/>
      <c r="BD110" s="126" t="n"/>
      <c r="BE110" s="126" t="n"/>
      <c r="BF110" s="126" t="n"/>
      <c r="BG110" s="126" t="n"/>
    </row>
    <row r="111" ht="21.95" customFormat="1" customHeight="1" s="106">
      <c r="A111" s="112" t="n"/>
      <c r="B111" s="605" t="inlineStr">
        <is>
          <t xml:space="preserve"> - งานสายไฟปลั๊ก</t>
        </is>
      </c>
      <c r="C111" s="606" t="n"/>
      <c r="D111" s="581" t="inlineStr">
        <is>
          <t>จุด</t>
        </is>
      </c>
      <c r="E111" s="589" t="n"/>
      <c r="F111" s="589">
        <f>C111*E111</f>
        <v/>
      </c>
      <c r="G111" s="589" t="n"/>
      <c r="H111" s="589">
        <f>C111*G111</f>
        <v/>
      </c>
      <c r="I111" s="589">
        <f>F111+H111</f>
        <v/>
      </c>
      <c r="J111" s="100" t="n"/>
      <c r="K111" s="153" t="n"/>
      <c r="L111" s="577" t="n"/>
      <c r="M111" s="578" t="n"/>
      <c r="N111" s="104" t="n"/>
      <c r="O111" s="104" t="n"/>
      <c r="P111" s="104" t="n"/>
      <c r="Q111" s="101" t="n"/>
      <c r="R111" s="101" t="n"/>
      <c r="S111" s="126" t="n"/>
      <c r="T111" s="126" t="n"/>
      <c r="U111" s="126" t="n"/>
      <c r="V111" s="126" t="n"/>
      <c r="W111" s="126" t="n"/>
      <c r="X111" s="126" t="n"/>
      <c r="Y111" s="126" t="n"/>
      <c r="Z111" s="126" t="n"/>
      <c r="AA111" s="126" t="n"/>
      <c r="AB111" s="126" t="n"/>
      <c r="AC111" s="126" t="n"/>
      <c r="AD111" s="126" t="n"/>
      <c r="AE111" s="126" t="n"/>
      <c r="AF111" s="126" t="n"/>
      <c r="AG111" s="126" t="n"/>
      <c r="AH111" s="126" t="n"/>
      <c r="AI111" s="126" t="n"/>
      <c r="AJ111" s="126" t="n"/>
      <c r="AK111" s="126" t="n"/>
      <c r="AL111" s="126" t="n"/>
      <c r="AM111" s="126" t="n"/>
      <c r="AN111" s="126" t="n"/>
      <c r="AO111" s="126" t="n"/>
      <c r="AP111" s="126" t="n"/>
      <c r="AQ111" s="126" t="n"/>
      <c r="AR111" s="126" t="n"/>
      <c r="AS111" s="126" t="n"/>
      <c r="AT111" s="126" t="n"/>
      <c r="AU111" s="126" t="n"/>
      <c r="AV111" s="126" t="n"/>
      <c r="AW111" s="126" t="n"/>
      <c r="AX111" s="126" t="n"/>
      <c r="AY111" s="126" t="n"/>
      <c r="AZ111" s="126" t="n"/>
      <c r="BA111" s="126" t="n"/>
      <c r="BB111" s="126" t="n"/>
      <c r="BC111" s="126" t="n"/>
      <c r="BD111" s="126" t="n"/>
      <c r="BE111" s="126" t="n"/>
      <c r="BF111" s="126" t="n"/>
      <c r="BG111" s="126" t="n"/>
    </row>
    <row r="112" ht="21.95" customFormat="1" customHeight="1" s="106">
      <c r="A112" s="107" t="n">
        <v>4.4</v>
      </c>
      <c r="B112" s="149" t="inlineStr">
        <is>
          <t>ตู้ควบคุมกระแสไฟฟ้า (Electrical Control Panels)</t>
        </is>
      </c>
      <c r="C112" s="609" t="n"/>
      <c r="D112" s="610" t="n"/>
      <c r="E112" s="610" t="n"/>
      <c r="F112" s="610">
        <f>C112*E112</f>
        <v/>
      </c>
      <c r="G112" s="610" t="n"/>
      <c r="H112" s="610">
        <f>C112*G112</f>
        <v/>
      </c>
      <c r="I112" s="610">
        <f>F112+H112</f>
        <v/>
      </c>
      <c r="J112" s="611" t="n"/>
      <c r="K112" s="153" t="n"/>
      <c r="L112" s="577" t="n"/>
      <c r="M112" s="578" t="n"/>
      <c r="N112" s="104" t="n"/>
      <c r="O112" s="104" t="n"/>
      <c r="P112" s="104" t="n"/>
      <c r="Q112" s="101" t="n"/>
      <c r="R112" s="101" t="n"/>
      <c r="S112" s="126" t="n"/>
      <c r="T112" s="126" t="n"/>
      <c r="U112" s="126" t="n"/>
      <c r="V112" s="126" t="n"/>
      <c r="W112" s="126" t="n"/>
      <c r="X112" s="126" t="n"/>
      <c r="Y112" s="126" t="n"/>
      <c r="Z112" s="126" t="n"/>
      <c r="AA112" s="126" t="n"/>
      <c r="AB112" s="126" t="n"/>
      <c r="AC112" s="126" t="n"/>
      <c r="AD112" s="126" t="n"/>
      <c r="AE112" s="126" t="n"/>
      <c r="AF112" s="126" t="n"/>
      <c r="AG112" s="126" t="n"/>
      <c r="AH112" s="126" t="n"/>
      <c r="AI112" s="126" t="n"/>
      <c r="AJ112" s="126" t="n"/>
      <c r="AK112" s="126" t="n"/>
      <c r="AL112" s="126" t="n"/>
      <c r="AM112" s="126" t="n"/>
      <c r="AN112" s="126" t="n"/>
      <c r="AO112" s="126" t="n"/>
      <c r="AP112" s="126" t="n"/>
      <c r="AQ112" s="126" t="n"/>
      <c r="AR112" s="126" t="n"/>
      <c r="AS112" s="126" t="n"/>
      <c r="AT112" s="126" t="n"/>
      <c r="AU112" s="126" t="n"/>
      <c r="AV112" s="126" t="n"/>
      <c r="AW112" s="126" t="n"/>
      <c r="AX112" s="126" t="n"/>
      <c r="AY112" s="126" t="n"/>
      <c r="AZ112" s="126" t="n"/>
      <c r="BA112" s="126" t="n"/>
      <c r="BB112" s="126" t="n"/>
      <c r="BC112" s="126" t="n"/>
      <c r="BD112" s="126" t="n"/>
      <c r="BE112" s="126" t="n"/>
      <c r="BF112" s="126" t="n"/>
      <c r="BG112" s="126" t="n"/>
    </row>
    <row r="113" ht="21.95" customFormat="1" customHeight="1" s="106">
      <c r="A113" s="107" t="n"/>
      <c r="B113" s="155" t="inlineStr">
        <is>
          <t xml:space="preserve"> - ตู้ควบคุมขนาด 24 ช่องพร้อมเมนและลูกเบรกเกอร์</t>
        </is>
      </c>
      <c r="C113" s="612" t="n"/>
      <c r="D113" s="613" t="inlineStr">
        <is>
          <t>ชุด</t>
        </is>
      </c>
      <c r="E113" s="613" t="n"/>
      <c r="F113" s="613">
        <f>C113*E113</f>
        <v/>
      </c>
      <c r="G113" s="613" t="n"/>
      <c r="H113" s="613">
        <f>C113*G113</f>
        <v/>
      </c>
      <c r="I113" s="613">
        <f>F113+H113</f>
        <v/>
      </c>
      <c r="J113" s="614" t="n"/>
      <c r="K113" s="153" t="n"/>
      <c r="L113" s="577" t="n"/>
      <c r="M113" s="578" t="n"/>
      <c r="N113" s="104" t="n"/>
      <c r="O113" s="104" t="n"/>
      <c r="P113" s="104" t="n"/>
      <c r="Q113" s="101" t="n"/>
      <c r="R113" s="101" t="n"/>
      <c r="S113" s="126" t="n"/>
      <c r="T113" s="126" t="n"/>
      <c r="U113" s="126" t="n"/>
      <c r="V113" s="126" t="n"/>
      <c r="W113" s="126" t="n"/>
      <c r="X113" s="126" t="n"/>
      <c r="Y113" s="126" t="n"/>
      <c r="Z113" s="126" t="n"/>
      <c r="AA113" s="126" t="n"/>
      <c r="AB113" s="126" t="n"/>
      <c r="AC113" s="126" t="n"/>
      <c r="AD113" s="126" t="n"/>
      <c r="AE113" s="126" t="n"/>
      <c r="AF113" s="126" t="n"/>
      <c r="AG113" s="126" t="n"/>
      <c r="AH113" s="126" t="n"/>
      <c r="AI113" s="126" t="n"/>
      <c r="AJ113" s="126" t="n"/>
      <c r="AK113" s="126" t="n"/>
      <c r="AL113" s="126" t="n"/>
      <c r="AM113" s="126" t="n"/>
      <c r="AN113" s="126" t="n"/>
      <c r="AO113" s="126" t="n"/>
      <c r="AP113" s="126" t="n"/>
      <c r="AQ113" s="126" t="n"/>
      <c r="AR113" s="126" t="n"/>
      <c r="AS113" s="126" t="n"/>
      <c r="AT113" s="126" t="n"/>
      <c r="AU113" s="126" t="n"/>
      <c r="AV113" s="126" t="n"/>
      <c r="AW113" s="126" t="n"/>
      <c r="AX113" s="126" t="n"/>
      <c r="AY113" s="126" t="n"/>
      <c r="AZ113" s="126" t="n"/>
      <c r="BA113" s="126" t="n"/>
      <c r="BB113" s="126" t="n"/>
      <c r="BC113" s="126" t="n"/>
      <c r="BD113" s="126" t="n"/>
      <c r="BE113" s="126" t="n"/>
      <c r="BF113" s="126" t="n"/>
      <c r="BG113" s="126" t="n"/>
    </row>
    <row r="114" ht="21.95" customFormat="1" customHeight="1" s="106">
      <c r="A114" s="107" t="n"/>
      <c r="B114" s="155" t="inlineStr">
        <is>
          <t xml:space="preserve"> - อุปกรณ์เซฟตี้สวิทย์ขนาด 200 แอมป์ ( ไฟฟ้า 3 เฟส )</t>
        </is>
      </c>
      <c r="C114" s="612" t="n"/>
      <c r="D114" s="613" t="inlineStr">
        <is>
          <t>ชุด</t>
        </is>
      </c>
      <c r="E114" s="613" t="n"/>
      <c r="F114" s="613">
        <f>C114*E114</f>
        <v/>
      </c>
      <c r="G114" s="613" t="n"/>
      <c r="H114" s="613">
        <f>C114*G114</f>
        <v/>
      </c>
      <c r="I114" s="613">
        <f>F114+H114</f>
        <v/>
      </c>
      <c r="J114" s="614" t="n"/>
      <c r="K114" s="153" t="n"/>
      <c r="L114" s="577" t="n"/>
      <c r="M114" s="578" t="n"/>
      <c r="N114" s="104" t="n"/>
      <c r="O114" s="104" t="n"/>
      <c r="P114" s="104" t="n"/>
      <c r="Q114" s="101" t="n"/>
      <c r="R114" s="101" t="n"/>
      <c r="S114" s="126" t="n"/>
      <c r="T114" s="126" t="n"/>
      <c r="U114" s="126" t="n"/>
      <c r="V114" s="126" t="n"/>
      <c r="W114" s="126" t="n"/>
      <c r="X114" s="126" t="n"/>
      <c r="Y114" s="126" t="n"/>
      <c r="Z114" s="126" t="n"/>
      <c r="AA114" s="126" t="n"/>
      <c r="AB114" s="126" t="n"/>
      <c r="AC114" s="126" t="n"/>
      <c r="AD114" s="126" t="n"/>
      <c r="AE114" s="126" t="n"/>
      <c r="AF114" s="126" t="n"/>
      <c r="AG114" s="126" t="n"/>
      <c r="AH114" s="126" t="n"/>
      <c r="AI114" s="126" t="n"/>
      <c r="AJ114" s="126" t="n"/>
      <c r="AK114" s="126" t="n"/>
      <c r="AL114" s="126" t="n"/>
      <c r="AM114" s="126" t="n"/>
      <c r="AN114" s="126" t="n"/>
      <c r="AO114" s="126" t="n"/>
      <c r="AP114" s="126" t="n"/>
      <c r="AQ114" s="126" t="n"/>
      <c r="AR114" s="126" t="n"/>
      <c r="AS114" s="126" t="n"/>
      <c r="AT114" s="126" t="n"/>
      <c r="AU114" s="126" t="n"/>
      <c r="AV114" s="126" t="n"/>
      <c r="AW114" s="126" t="n"/>
      <c r="AX114" s="126" t="n"/>
      <c r="AY114" s="126" t="n"/>
      <c r="AZ114" s="126" t="n"/>
      <c r="BA114" s="126" t="n"/>
      <c r="BB114" s="126" t="n"/>
      <c r="BC114" s="126" t="n"/>
      <c r="BD114" s="126" t="n"/>
      <c r="BE114" s="126" t="n"/>
      <c r="BF114" s="126" t="n"/>
      <c r="BG114" s="126" t="n"/>
    </row>
    <row r="115" ht="21.95" customFormat="1" customHeight="1" s="106">
      <c r="A115" s="140" t="n">
        <v>4.5</v>
      </c>
      <c r="B115" s="159" t="inlineStr">
        <is>
          <t>งานระบบสายล่อฟ้า</t>
        </is>
      </c>
      <c r="C115" s="615" t="n"/>
      <c r="D115" s="161" t="n"/>
      <c r="E115" s="616" t="n"/>
      <c r="F115" s="616">
        <f>C115*E115</f>
        <v/>
      </c>
      <c r="G115" s="616" t="n"/>
      <c r="H115" s="616">
        <f>C115*G115</f>
        <v/>
      </c>
      <c r="I115" s="616">
        <f>F115+H115</f>
        <v/>
      </c>
      <c r="J115" s="617" t="n"/>
      <c r="K115" s="153" t="n"/>
      <c r="L115" s="577" t="n"/>
      <c r="M115" s="578" t="n"/>
      <c r="N115" s="104" t="n"/>
      <c r="O115" s="104" t="n"/>
      <c r="P115" s="104" t="n"/>
      <c r="Q115" s="101" t="n"/>
      <c r="R115" s="101" t="n"/>
      <c r="S115" s="126" t="n"/>
      <c r="T115" s="126" t="n"/>
      <c r="U115" s="126" t="n"/>
      <c r="V115" s="126" t="n"/>
      <c r="W115" s="126" t="n"/>
      <c r="X115" s="126" t="n"/>
      <c r="Y115" s="126" t="n"/>
      <c r="Z115" s="126" t="n"/>
      <c r="AA115" s="126" t="n"/>
      <c r="AB115" s="126" t="n"/>
      <c r="AC115" s="126" t="n"/>
      <c r="AD115" s="126" t="n"/>
      <c r="AE115" s="126" t="n"/>
      <c r="AF115" s="126" t="n"/>
      <c r="AG115" s="126" t="n"/>
      <c r="AH115" s="126" t="n"/>
      <c r="AI115" s="126" t="n"/>
      <c r="AJ115" s="126" t="n"/>
      <c r="AK115" s="126" t="n"/>
      <c r="AL115" s="126" t="n"/>
      <c r="AM115" s="126" t="n"/>
      <c r="AN115" s="126" t="n"/>
      <c r="AO115" s="126" t="n"/>
      <c r="AP115" s="126" t="n"/>
      <c r="AQ115" s="126" t="n"/>
      <c r="AR115" s="126" t="n"/>
      <c r="AS115" s="126" t="n"/>
      <c r="AT115" s="126" t="n"/>
      <c r="AU115" s="126" t="n"/>
      <c r="AV115" s="126" t="n"/>
      <c r="AW115" s="126" t="n"/>
      <c r="AX115" s="126" t="n"/>
      <c r="AY115" s="126" t="n"/>
      <c r="AZ115" s="126" t="n"/>
      <c r="BA115" s="126" t="n"/>
      <c r="BB115" s="126" t="n"/>
      <c r="BC115" s="126" t="n"/>
      <c r="BD115" s="126" t="n"/>
      <c r="BE115" s="126" t="n"/>
      <c r="BF115" s="126" t="n"/>
      <c r="BG115" s="126" t="n"/>
    </row>
    <row r="116" ht="21.95" customFormat="1" customHeight="1" s="106">
      <c r="A116" s="107" t="n"/>
      <c r="B116" s="164" t="inlineStr">
        <is>
          <t xml:space="preserve"> - สายล่อฟ้าพร้อมอุปกรณ์ครบชุด</t>
        </is>
      </c>
      <c r="C116" s="618" t="n"/>
      <c r="D116" s="122" t="inlineStr">
        <is>
          <t>ชุด</t>
        </is>
      </c>
      <c r="E116" s="619" t="n"/>
      <c r="F116" s="619">
        <f>C116*E116</f>
        <v/>
      </c>
      <c r="G116" s="619" t="n"/>
      <c r="H116" s="619">
        <f>C116*G116</f>
        <v/>
      </c>
      <c r="I116" s="619">
        <f>F116+H116</f>
        <v/>
      </c>
      <c r="J116" s="620" t="n"/>
      <c r="K116" s="153" t="n"/>
      <c r="L116" s="577" t="n"/>
      <c r="M116" s="578" t="n"/>
      <c r="N116" s="104" t="n"/>
      <c r="O116" s="104" t="n"/>
      <c r="P116" s="104" t="n"/>
      <c r="Q116" s="101" t="n"/>
      <c r="R116" s="101" t="n"/>
      <c r="S116" s="126" t="n"/>
      <c r="T116" s="126" t="n"/>
      <c r="U116" s="126" t="n"/>
      <c r="V116" s="126" t="n"/>
      <c r="W116" s="126" t="n"/>
      <c r="X116" s="126" t="n"/>
      <c r="Y116" s="126" t="n"/>
      <c r="Z116" s="126" t="n"/>
      <c r="AA116" s="126" t="n"/>
      <c r="AB116" s="126" t="n"/>
      <c r="AC116" s="126" t="n"/>
      <c r="AD116" s="126" t="n"/>
      <c r="AE116" s="126" t="n"/>
      <c r="AF116" s="126" t="n"/>
      <c r="AG116" s="126" t="n"/>
      <c r="AH116" s="126" t="n"/>
      <c r="AI116" s="126" t="n"/>
      <c r="AJ116" s="126" t="n"/>
      <c r="AK116" s="126" t="n"/>
      <c r="AL116" s="126" t="n"/>
      <c r="AM116" s="126" t="n"/>
      <c r="AN116" s="126" t="n"/>
      <c r="AO116" s="126" t="n"/>
      <c r="AP116" s="126" t="n"/>
      <c r="AQ116" s="126" t="n"/>
      <c r="AR116" s="126" t="n"/>
      <c r="AS116" s="126" t="n"/>
      <c r="AT116" s="126" t="n"/>
      <c r="AU116" s="126" t="n"/>
      <c r="AV116" s="126" t="n"/>
      <c r="AW116" s="126" t="n"/>
      <c r="AX116" s="126" t="n"/>
      <c r="AY116" s="126" t="n"/>
      <c r="AZ116" s="126" t="n"/>
      <c r="BA116" s="126" t="n"/>
      <c r="BB116" s="126" t="n"/>
      <c r="BC116" s="126" t="n"/>
      <c r="BD116" s="126" t="n"/>
      <c r="BE116" s="126" t="n"/>
      <c r="BF116" s="126" t="n"/>
      <c r="BG116" s="126" t="n"/>
    </row>
    <row r="117" ht="21.95" customFormat="1" customHeight="1" s="106">
      <c r="A117" s="107" t="n">
        <v>4.6</v>
      </c>
      <c r="B117" s="168" t="inlineStr">
        <is>
          <t>งานระบายอากาศ</t>
        </is>
      </c>
      <c r="C117" s="618" t="n"/>
      <c r="D117" s="122" t="n"/>
      <c r="E117" s="619" t="n"/>
      <c r="F117" s="619">
        <f>C117*E117</f>
        <v/>
      </c>
      <c r="G117" s="619" t="n"/>
      <c r="H117" s="619">
        <f>C117*G117</f>
        <v/>
      </c>
      <c r="I117" s="619">
        <f>F117+H117</f>
        <v/>
      </c>
      <c r="J117" s="620" t="n"/>
      <c r="K117" s="153" t="n"/>
      <c r="L117" s="577" t="n"/>
      <c r="M117" s="578" t="n"/>
      <c r="N117" s="104" t="n"/>
      <c r="O117" s="104" t="n"/>
      <c r="P117" s="104" t="n"/>
      <c r="Q117" s="101" t="n"/>
      <c r="R117" s="101" t="n"/>
      <c r="S117" s="126" t="n"/>
      <c r="T117" s="126" t="n"/>
      <c r="U117" s="126" t="n"/>
      <c r="V117" s="126" t="n"/>
      <c r="W117" s="126" t="n"/>
      <c r="X117" s="126" t="n"/>
      <c r="Y117" s="126" t="n"/>
      <c r="Z117" s="126" t="n"/>
      <c r="AA117" s="126" t="n"/>
      <c r="AB117" s="126" t="n"/>
      <c r="AC117" s="126" t="n"/>
      <c r="AD117" s="126" t="n"/>
      <c r="AE117" s="126" t="n"/>
      <c r="AF117" s="126" t="n"/>
      <c r="AG117" s="126" t="n"/>
      <c r="AH117" s="126" t="n"/>
      <c r="AI117" s="126" t="n"/>
      <c r="AJ117" s="126" t="n"/>
      <c r="AK117" s="126" t="n"/>
      <c r="AL117" s="126" t="n"/>
      <c r="AM117" s="126" t="n"/>
      <c r="AN117" s="126" t="n"/>
      <c r="AO117" s="126" t="n"/>
      <c r="AP117" s="126" t="n"/>
      <c r="AQ117" s="126" t="n"/>
      <c r="AR117" s="126" t="n"/>
      <c r="AS117" s="126" t="n"/>
      <c r="AT117" s="126" t="n"/>
      <c r="AU117" s="126" t="n"/>
      <c r="AV117" s="126" t="n"/>
      <c r="AW117" s="126" t="n"/>
      <c r="AX117" s="126" t="n"/>
      <c r="AY117" s="126" t="n"/>
      <c r="AZ117" s="126" t="n"/>
      <c r="BA117" s="126" t="n"/>
      <c r="BB117" s="126" t="n"/>
      <c r="BC117" s="126" t="n"/>
      <c r="BD117" s="126" t="n"/>
      <c r="BE117" s="126" t="n"/>
      <c r="BF117" s="126" t="n"/>
      <c r="BG117" s="126" t="n"/>
    </row>
    <row r="118" ht="21.95" customFormat="1" customHeight="1" s="106">
      <c r="A118" s="138" t="n"/>
      <c r="B118" s="169" t="inlineStr">
        <is>
          <t xml:space="preserve"> - พัดลมระบายอากาศขนาด 6" แบบฝังฝ้าเพดาน</t>
        </is>
      </c>
      <c r="C118" s="621" t="n"/>
      <c r="D118" s="122" t="inlineStr">
        <is>
          <t>ชุด</t>
        </is>
      </c>
      <c r="E118" s="622" t="n"/>
      <c r="F118" s="619">
        <f>C118*E118</f>
        <v/>
      </c>
      <c r="G118" s="622" t="n"/>
      <c r="H118" s="619">
        <f>C118*G118</f>
        <v/>
      </c>
      <c r="I118" s="619">
        <f>F118+H118</f>
        <v/>
      </c>
      <c r="J118" s="126" t="n"/>
      <c r="K118" s="153" t="n"/>
      <c r="L118" s="577" t="n"/>
      <c r="M118" s="578" t="n"/>
      <c r="N118" s="104" t="n"/>
      <c r="O118" s="104" t="n"/>
      <c r="P118" s="104" t="n"/>
      <c r="Q118" s="101" t="n"/>
      <c r="R118" s="101" t="n"/>
      <c r="S118" s="126" t="n"/>
      <c r="T118" s="126" t="n"/>
      <c r="U118" s="126" t="n"/>
      <c r="V118" s="126" t="n"/>
      <c r="W118" s="126" t="n"/>
      <c r="X118" s="126" t="n"/>
      <c r="Y118" s="126" t="n"/>
      <c r="Z118" s="126" t="n"/>
      <c r="AA118" s="126" t="n"/>
      <c r="AB118" s="126" t="n"/>
      <c r="AC118" s="126" t="n"/>
      <c r="AD118" s="126" t="n"/>
      <c r="AE118" s="126" t="n"/>
      <c r="AF118" s="126" t="n"/>
      <c r="AG118" s="126" t="n"/>
      <c r="AH118" s="126" t="n"/>
      <c r="AI118" s="126" t="n"/>
      <c r="AJ118" s="126" t="n"/>
      <c r="AK118" s="126" t="n"/>
      <c r="AL118" s="126" t="n"/>
      <c r="AM118" s="126" t="n"/>
      <c r="AN118" s="126" t="n"/>
      <c r="AO118" s="126" t="n"/>
      <c r="AP118" s="126" t="n"/>
      <c r="AQ118" s="126" t="n"/>
      <c r="AR118" s="126" t="n"/>
      <c r="AS118" s="126" t="n"/>
      <c r="AT118" s="126" t="n"/>
      <c r="AU118" s="126" t="n"/>
      <c r="AV118" s="126" t="n"/>
      <c r="AW118" s="126" t="n"/>
      <c r="AX118" s="126" t="n"/>
      <c r="AY118" s="126" t="n"/>
      <c r="AZ118" s="126" t="n"/>
      <c r="BA118" s="126" t="n"/>
      <c r="BB118" s="126" t="n"/>
      <c r="BC118" s="126" t="n"/>
      <c r="BD118" s="126" t="n"/>
      <c r="BE118" s="126" t="n"/>
      <c r="BF118" s="126" t="n"/>
      <c r="BG118" s="126" t="n"/>
    </row>
    <row r="119" ht="21.95" customFormat="1" customHeight="1" s="106">
      <c r="A119" s="138" t="n"/>
      <c r="B119" s="172" t="n"/>
      <c r="C119" s="623" t="n"/>
      <c r="D119" s="174" t="n"/>
      <c r="E119" s="624" t="n"/>
      <c r="F119" s="624">
        <f>C119*E119</f>
        <v/>
      </c>
      <c r="G119" s="624" t="n"/>
      <c r="H119" s="624">
        <f>C119*G119</f>
        <v/>
      </c>
      <c r="I119" s="624">
        <f>F119+H119</f>
        <v/>
      </c>
      <c r="J119" s="620" t="n"/>
      <c r="K119" s="153" t="n"/>
      <c r="L119" s="577" t="n"/>
      <c r="M119" s="578" t="n"/>
      <c r="N119" s="104" t="n"/>
      <c r="O119" s="104" t="n"/>
      <c r="P119" s="104" t="n"/>
      <c r="Q119" s="101" t="n"/>
      <c r="R119" s="101" t="n"/>
      <c r="S119" s="126" t="n"/>
      <c r="T119" s="126" t="n"/>
      <c r="U119" s="126" t="n"/>
      <c r="V119" s="126" t="n"/>
      <c r="W119" s="126" t="n"/>
      <c r="X119" s="126" t="n"/>
      <c r="Y119" s="126" t="n"/>
      <c r="Z119" s="126" t="n"/>
      <c r="AA119" s="126" t="n"/>
      <c r="AB119" s="126" t="n"/>
      <c r="AC119" s="126" t="n"/>
      <c r="AD119" s="126" t="n"/>
      <c r="AE119" s="126" t="n"/>
      <c r="AF119" s="126" t="n"/>
      <c r="AG119" s="126" t="n"/>
      <c r="AH119" s="126" t="n"/>
      <c r="AI119" s="126" t="n"/>
      <c r="AJ119" s="126" t="n"/>
      <c r="AK119" s="126" t="n"/>
      <c r="AL119" s="126" t="n"/>
      <c r="AM119" s="126" t="n"/>
      <c r="AN119" s="126" t="n"/>
      <c r="AO119" s="126" t="n"/>
      <c r="AP119" s="126" t="n"/>
      <c r="AQ119" s="126" t="n"/>
      <c r="AR119" s="126" t="n"/>
      <c r="AS119" s="126" t="n"/>
      <c r="AT119" s="126" t="n"/>
      <c r="AU119" s="126" t="n"/>
      <c r="AV119" s="126" t="n"/>
      <c r="AW119" s="126" t="n"/>
      <c r="AX119" s="126" t="n"/>
      <c r="AY119" s="126" t="n"/>
      <c r="AZ119" s="126" t="n"/>
      <c r="BA119" s="126" t="n"/>
      <c r="BB119" s="126" t="n"/>
      <c r="BC119" s="126" t="n"/>
      <c r="BD119" s="126" t="n"/>
      <c r="BE119" s="126" t="n"/>
      <c r="BF119" s="126" t="n"/>
      <c r="BG119" s="126" t="n"/>
    </row>
    <row r="120" ht="21.95" customFormat="1" customHeight="1" s="106">
      <c r="A120" s="393" t="inlineStr">
        <is>
          <t>รวมราคาค่าแรงและค่าวัสดุ 4</t>
        </is>
      </c>
      <c r="B120" s="588" t="n"/>
      <c r="C120" s="588" t="n"/>
      <c r="D120" s="588" t="n"/>
      <c r="E120" s="566" t="n"/>
      <c r="F120" s="572">
        <f>SUM(F99:F119)</f>
        <v/>
      </c>
      <c r="G120" s="572" t="n"/>
      <c r="H120" s="572">
        <f>SUM(H99:H118)</f>
        <v/>
      </c>
      <c r="I120" s="572">
        <f>SUM(I99:I119)</f>
        <v/>
      </c>
      <c r="J120" s="126" t="n"/>
      <c r="K120" s="153" t="n"/>
      <c r="L120" s="577" t="n"/>
      <c r="M120" s="578" t="n"/>
      <c r="N120" s="104" t="n"/>
      <c r="O120" s="104" t="n"/>
      <c r="P120" s="104" t="n"/>
      <c r="Q120" s="101" t="n"/>
      <c r="R120" s="101" t="n"/>
      <c r="S120" s="126" t="n"/>
      <c r="T120" s="126" t="n"/>
      <c r="U120" s="126" t="n"/>
      <c r="V120" s="126" t="n"/>
      <c r="W120" s="126" t="n"/>
      <c r="X120" s="126" t="n"/>
      <c r="Y120" s="126" t="n"/>
      <c r="Z120" s="126" t="n"/>
      <c r="AA120" s="126" t="n"/>
      <c r="AB120" s="126" t="n"/>
      <c r="AC120" s="126" t="n"/>
      <c r="AD120" s="126" t="n"/>
      <c r="AE120" s="126" t="n"/>
      <c r="AF120" s="126" t="n"/>
      <c r="AG120" s="126" t="n"/>
      <c r="AH120" s="126" t="n"/>
      <c r="AI120" s="126" t="n"/>
      <c r="AJ120" s="126" t="n"/>
      <c r="AK120" s="126" t="n"/>
      <c r="AL120" s="126" t="n"/>
      <c r="AM120" s="126" t="n"/>
      <c r="AN120" s="126" t="n"/>
      <c r="AO120" s="126" t="n"/>
      <c r="AP120" s="126" t="n"/>
      <c r="AQ120" s="126" t="n"/>
      <c r="AR120" s="126" t="n"/>
      <c r="AS120" s="126" t="n"/>
      <c r="AT120" s="126" t="n"/>
      <c r="AU120" s="126" t="n"/>
      <c r="AV120" s="126" t="n"/>
      <c r="AW120" s="126" t="n"/>
      <c r="AX120" s="126" t="n"/>
      <c r="AY120" s="126" t="n"/>
      <c r="AZ120" s="126" t="n"/>
      <c r="BA120" s="126" t="n"/>
      <c r="BB120" s="126" t="n"/>
      <c r="BC120" s="126" t="n"/>
      <c r="BD120" s="126" t="n"/>
      <c r="BE120" s="126" t="n"/>
      <c r="BF120" s="126" t="n"/>
      <c r="BG120" s="126" t="n"/>
    </row>
    <row r="121" ht="21.95" customFormat="1" customHeight="1" s="106">
      <c r="A121" s="95" t="n">
        <v>5</v>
      </c>
      <c r="B121" s="573" t="inlineStr">
        <is>
          <t>หมวดงานสุขาภิบาล</t>
        </is>
      </c>
      <c r="C121" s="625" t="n"/>
      <c r="D121" s="626" t="n"/>
      <c r="E121" s="592" t="n"/>
      <c r="F121" s="592" t="n"/>
      <c r="G121" s="592" t="n"/>
      <c r="H121" s="592" t="n"/>
      <c r="I121" s="592" t="n"/>
      <c r="J121" s="126" t="n"/>
      <c r="K121" s="153" t="n"/>
      <c r="L121" s="577" t="n"/>
      <c r="M121" s="578" t="n"/>
      <c r="N121" s="104" t="n"/>
      <c r="O121" s="104" t="n"/>
      <c r="P121" s="104" t="n"/>
      <c r="Q121" s="101" t="n"/>
      <c r="R121" s="101" t="n"/>
      <c r="S121" s="126" t="n"/>
      <c r="T121" s="126" t="n"/>
      <c r="U121" s="126" t="n"/>
      <c r="V121" s="126" t="n"/>
      <c r="W121" s="126" t="n"/>
      <c r="X121" s="126" t="n"/>
      <c r="Y121" s="126" t="n"/>
      <c r="Z121" s="126" t="n"/>
      <c r="AA121" s="126" t="n"/>
      <c r="AB121" s="126" t="n"/>
      <c r="AC121" s="126" t="n"/>
      <c r="AD121" s="126" t="n"/>
      <c r="AE121" s="126" t="n"/>
      <c r="AF121" s="126" t="n"/>
      <c r="AG121" s="126" t="n"/>
      <c r="AH121" s="126" t="n"/>
      <c r="AI121" s="126" t="n"/>
      <c r="AJ121" s="126" t="n"/>
      <c r="AK121" s="126" t="n"/>
      <c r="AL121" s="126" t="n"/>
      <c r="AM121" s="126" t="n"/>
      <c r="AN121" s="126" t="n"/>
      <c r="AO121" s="126" t="n"/>
      <c r="AP121" s="126" t="n"/>
      <c r="AQ121" s="126" t="n"/>
      <c r="AR121" s="126" t="n"/>
      <c r="AS121" s="126" t="n"/>
      <c r="AT121" s="126" t="n"/>
      <c r="AU121" s="126" t="n"/>
      <c r="AV121" s="126" t="n"/>
      <c r="AW121" s="126" t="n"/>
      <c r="AX121" s="126" t="n"/>
      <c r="AY121" s="126" t="n"/>
      <c r="AZ121" s="126" t="n"/>
      <c r="BA121" s="126" t="n"/>
      <c r="BB121" s="126" t="n"/>
      <c r="BC121" s="126" t="n"/>
      <c r="BD121" s="126" t="n"/>
      <c r="BE121" s="126" t="n"/>
      <c r="BF121" s="126" t="n"/>
      <c r="BG121" s="126" t="n"/>
    </row>
    <row r="122" ht="21.95" customFormat="1" customHeight="1" s="106">
      <c r="A122" s="107" t="n">
        <v>5.1</v>
      </c>
      <c r="B122" s="579" t="inlineStr">
        <is>
          <t>งานสุขภัณฑ์</t>
        </is>
      </c>
      <c r="C122" s="627" t="n"/>
      <c r="D122" s="628" t="n"/>
      <c r="E122" s="607" t="n"/>
      <c r="F122" s="607">
        <f>C122*E122</f>
        <v/>
      </c>
      <c r="G122" s="607" t="n"/>
      <c r="H122" s="607">
        <f>C122*G122</f>
        <v/>
      </c>
      <c r="I122" s="607">
        <f>F122+H122</f>
        <v/>
      </c>
      <c r="J122" s="126" t="n"/>
      <c r="K122" s="153" t="n"/>
      <c r="L122" s="577" t="n"/>
      <c r="M122" s="578" t="n"/>
      <c r="N122" s="104" t="n"/>
      <c r="O122" s="104" t="n"/>
      <c r="P122" s="104" t="n"/>
      <c r="Q122" s="101" t="n"/>
      <c r="R122" s="101" t="n"/>
      <c r="S122" s="126" t="n"/>
      <c r="T122" s="126" t="n"/>
      <c r="U122" s="126" t="n"/>
      <c r="V122" s="126" t="n"/>
      <c r="W122" s="126" t="n"/>
      <c r="X122" s="126" t="n"/>
      <c r="Y122" s="126" t="n"/>
      <c r="Z122" s="126" t="n"/>
      <c r="AA122" s="126" t="n"/>
      <c r="AB122" s="126" t="n"/>
      <c r="AC122" s="126" t="n"/>
      <c r="AD122" s="126" t="n"/>
      <c r="AE122" s="126" t="n"/>
      <c r="AF122" s="126" t="n"/>
      <c r="AG122" s="126" t="n"/>
      <c r="AH122" s="126" t="n"/>
      <c r="AI122" s="126" t="n"/>
      <c r="AJ122" s="126" t="n"/>
      <c r="AK122" s="126" t="n"/>
      <c r="AL122" s="126" t="n"/>
      <c r="AM122" s="126" t="n"/>
      <c r="AN122" s="126" t="n"/>
      <c r="AO122" s="126" t="n"/>
      <c r="AP122" s="126" t="n"/>
      <c r="AQ122" s="126" t="n"/>
      <c r="AR122" s="126" t="n"/>
      <c r="AS122" s="126" t="n"/>
      <c r="AT122" s="126" t="n"/>
      <c r="AU122" s="126" t="n"/>
      <c r="AV122" s="126" t="n"/>
      <c r="AW122" s="126" t="n"/>
      <c r="AX122" s="126" t="n"/>
      <c r="AY122" s="126" t="n"/>
      <c r="AZ122" s="126" t="n"/>
      <c r="BA122" s="126" t="n"/>
      <c r="BB122" s="126" t="n"/>
      <c r="BC122" s="126" t="n"/>
      <c r="BD122" s="126" t="n"/>
      <c r="BE122" s="126" t="n"/>
      <c r="BF122" s="126" t="n"/>
      <c r="BG122" s="126" t="n"/>
    </row>
    <row r="123" ht="21.95" customFormat="1" customHeight="1" s="106">
      <c r="A123" s="107" t="n"/>
      <c r="B123" s="583" t="inlineStr">
        <is>
          <t xml:space="preserve"> -  โถส้วมนั่งราบแบบมีหม้อน้ำ  C13970</t>
        </is>
      </c>
      <c r="C123" s="580" t="n"/>
      <c r="D123" s="581" t="inlineStr">
        <is>
          <t>ชุด</t>
        </is>
      </c>
      <c r="E123" s="582" t="n"/>
      <c r="F123" s="582">
        <f>C123*E123</f>
        <v/>
      </c>
      <c r="G123" s="582" t="n"/>
      <c r="H123" s="582">
        <f>C123*G123</f>
        <v/>
      </c>
      <c r="I123" s="582">
        <f>F123+H123</f>
        <v/>
      </c>
      <c r="J123" s="126" t="n"/>
      <c r="K123" s="153" t="n"/>
      <c r="L123" s="577" t="n"/>
      <c r="M123" s="578" t="n"/>
      <c r="N123" s="104" t="n"/>
      <c r="O123" s="104" t="n"/>
      <c r="P123" s="104" t="n"/>
      <c r="Q123" s="101" t="n"/>
      <c r="R123" s="101" t="n"/>
      <c r="S123" s="126" t="n"/>
      <c r="T123" s="126" t="n"/>
      <c r="U123" s="126" t="n"/>
      <c r="V123" s="126" t="n"/>
      <c r="W123" s="126" t="n"/>
      <c r="X123" s="126" t="n"/>
      <c r="Y123" s="126" t="n"/>
      <c r="Z123" s="126" t="n"/>
      <c r="AA123" s="126" t="n"/>
      <c r="AB123" s="126" t="n"/>
      <c r="AC123" s="126" t="n"/>
      <c r="AD123" s="126" t="n"/>
      <c r="AE123" s="126" t="n"/>
      <c r="AF123" s="126" t="n"/>
      <c r="AG123" s="126" t="n"/>
      <c r="AH123" s="126" t="n"/>
      <c r="AI123" s="126" t="n"/>
      <c r="AJ123" s="126" t="n"/>
      <c r="AK123" s="126" t="n"/>
      <c r="AL123" s="126" t="n"/>
      <c r="AM123" s="126" t="n"/>
      <c r="AN123" s="126" t="n"/>
      <c r="AO123" s="126" t="n"/>
      <c r="AP123" s="126" t="n"/>
      <c r="AQ123" s="126" t="n"/>
      <c r="AR123" s="126" t="n"/>
      <c r="AS123" s="126" t="n"/>
      <c r="AT123" s="126" t="n"/>
      <c r="AU123" s="126" t="n"/>
      <c r="AV123" s="126" t="n"/>
      <c r="AW123" s="126" t="n"/>
      <c r="AX123" s="126" t="n"/>
      <c r="AY123" s="126" t="n"/>
      <c r="AZ123" s="126" t="n"/>
      <c r="BA123" s="126" t="n"/>
      <c r="BB123" s="126" t="n"/>
      <c r="BC123" s="126" t="n"/>
      <c r="BD123" s="126" t="n"/>
      <c r="BE123" s="126" t="n"/>
      <c r="BF123" s="126" t="n"/>
      <c r="BG123" s="126" t="n"/>
    </row>
    <row r="124" ht="21.95" customFormat="1" customHeight="1" s="106">
      <c r="A124" s="107" t="n"/>
      <c r="B124" s="583" t="inlineStr">
        <is>
          <t xml:space="preserve"> -  โถส้วมนั่งยองมีฐานแบบมีหม้อน้ำ  C203</t>
        </is>
      </c>
      <c r="C124" s="580" t="n"/>
      <c r="D124" s="581" t="inlineStr">
        <is>
          <t>ชุด</t>
        </is>
      </c>
      <c r="E124" s="582" t="n"/>
      <c r="F124" s="582">
        <f>C124*E124</f>
        <v/>
      </c>
      <c r="G124" s="582" t="n"/>
      <c r="H124" s="582">
        <f>C124*G124</f>
        <v/>
      </c>
      <c r="I124" s="582">
        <f>F124+H124</f>
        <v/>
      </c>
      <c r="J124" s="126" t="n"/>
      <c r="K124" s="153" t="n"/>
      <c r="L124" s="577" t="n"/>
      <c r="M124" s="578" t="n"/>
      <c r="N124" s="104" t="n"/>
      <c r="O124" s="104" t="n"/>
      <c r="P124" s="104" t="n"/>
      <c r="Q124" s="101" t="n"/>
      <c r="R124" s="101" t="n"/>
      <c r="S124" s="126" t="n"/>
      <c r="T124" s="126" t="n"/>
      <c r="U124" s="126" t="n"/>
      <c r="V124" s="126" t="n"/>
      <c r="W124" s="126" t="n"/>
      <c r="X124" s="126" t="n"/>
      <c r="Y124" s="126" t="n"/>
      <c r="Z124" s="126" t="n"/>
      <c r="AA124" s="126" t="n"/>
      <c r="AB124" s="126" t="n"/>
      <c r="AC124" s="126" t="n"/>
      <c r="AD124" s="126" t="n"/>
      <c r="AE124" s="126" t="n"/>
      <c r="AF124" s="126" t="n"/>
      <c r="AG124" s="126" t="n"/>
      <c r="AH124" s="126" t="n"/>
      <c r="AI124" s="126" t="n"/>
      <c r="AJ124" s="126" t="n"/>
      <c r="AK124" s="126" t="n"/>
      <c r="AL124" s="126" t="n"/>
      <c r="AM124" s="126" t="n"/>
      <c r="AN124" s="126" t="n"/>
      <c r="AO124" s="126" t="n"/>
      <c r="AP124" s="126" t="n"/>
      <c r="AQ124" s="126" t="n"/>
      <c r="AR124" s="126" t="n"/>
      <c r="AS124" s="126" t="n"/>
      <c r="AT124" s="126" t="n"/>
      <c r="AU124" s="126" t="n"/>
      <c r="AV124" s="126" t="n"/>
      <c r="AW124" s="126" t="n"/>
      <c r="AX124" s="126" t="n"/>
      <c r="AY124" s="126" t="n"/>
      <c r="AZ124" s="126" t="n"/>
      <c r="BA124" s="126" t="n"/>
      <c r="BB124" s="126" t="n"/>
      <c r="BC124" s="126" t="n"/>
      <c r="BD124" s="126" t="n"/>
      <c r="BE124" s="126" t="n"/>
      <c r="BF124" s="126" t="n"/>
      <c r="BG124" s="126" t="n"/>
    </row>
    <row r="125" ht="21.95" customFormat="1" customHeight="1" s="106">
      <c r="A125" s="107" t="n"/>
      <c r="B125" s="583" t="inlineStr">
        <is>
          <t xml:space="preserve"> -  สายชำระ COTTO CT9914SA (HM) สเตนเลส</t>
        </is>
      </c>
      <c r="C125" s="580" t="n"/>
      <c r="D125" s="581" t="inlineStr">
        <is>
          <t>ชุด</t>
        </is>
      </c>
      <c r="E125" s="582" t="n"/>
      <c r="F125" s="582">
        <f>C125*E125</f>
        <v/>
      </c>
      <c r="G125" s="582" t="n"/>
      <c r="H125" s="582">
        <f>C125*G125</f>
        <v/>
      </c>
      <c r="I125" s="582">
        <f>F125+H125</f>
        <v/>
      </c>
      <c r="J125" s="126" t="n"/>
      <c r="K125" s="153" t="n"/>
      <c r="L125" s="577" t="n"/>
      <c r="M125" s="578" t="n"/>
      <c r="N125" s="104" t="n"/>
      <c r="O125" s="104" t="n"/>
      <c r="P125" s="104" t="n"/>
      <c r="Q125" s="101" t="n"/>
      <c r="R125" s="101" t="n"/>
      <c r="S125" s="126" t="n"/>
      <c r="T125" s="126" t="n"/>
      <c r="U125" s="126" t="n"/>
      <c r="V125" s="126" t="n"/>
      <c r="W125" s="126" t="n"/>
      <c r="X125" s="126" t="n"/>
      <c r="Y125" s="126" t="n"/>
      <c r="Z125" s="126" t="n"/>
      <c r="AA125" s="126" t="n"/>
      <c r="AB125" s="126" t="n"/>
      <c r="AC125" s="126" t="n"/>
      <c r="AD125" s="126" t="n"/>
      <c r="AE125" s="126" t="n"/>
      <c r="AF125" s="126" t="n"/>
      <c r="AG125" s="126" t="n"/>
      <c r="AH125" s="126" t="n"/>
      <c r="AI125" s="126" t="n"/>
      <c r="AJ125" s="126" t="n"/>
      <c r="AK125" s="126" t="n"/>
      <c r="AL125" s="126" t="n"/>
      <c r="AM125" s="126" t="n"/>
      <c r="AN125" s="126" t="n"/>
      <c r="AO125" s="126" t="n"/>
      <c r="AP125" s="126" t="n"/>
      <c r="AQ125" s="126" t="n"/>
      <c r="AR125" s="126" t="n"/>
      <c r="AS125" s="126" t="n"/>
      <c r="AT125" s="126" t="n"/>
      <c r="AU125" s="126" t="n"/>
      <c r="AV125" s="126" t="n"/>
      <c r="AW125" s="126" t="n"/>
      <c r="AX125" s="126" t="n"/>
      <c r="AY125" s="126" t="n"/>
      <c r="AZ125" s="126" t="n"/>
      <c r="BA125" s="126" t="n"/>
      <c r="BB125" s="126" t="n"/>
      <c r="BC125" s="126" t="n"/>
      <c r="BD125" s="126" t="n"/>
      <c r="BE125" s="126" t="n"/>
      <c r="BF125" s="126" t="n"/>
      <c r="BG125" s="126" t="n"/>
    </row>
    <row r="126" ht="21.95" customFormat="1" customHeight="1" s="106">
      <c r="A126" s="107" t="n"/>
      <c r="B126" s="583" t="inlineStr">
        <is>
          <t xml:space="preserve"> -  ที่ใส่กระดาษชำระ ม้วนใหญ่ WSP</t>
        </is>
      </c>
      <c r="C126" s="580" t="n"/>
      <c r="D126" s="581" t="inlineStr">
        <is>
          <t>ชุด</t>
        </is>
      </c>
      <c r="E126" s="582" t="n"/>
      <c r="F126" s="582">
        <f>C126*E126</f>
        <v/>
      </c>
      <c r="G126" s="582" t="n"/>
      <c r="H126" s="582">
        <f>C126*G126</f>
        <v/>
      </c>
      <c r="I126" s="582">
        <f>F126+H126</f>
        <v/>
      </c>
      <c r="J126" s="126" t="n"/>
      <c r="K126" s="153" t="n"/>
      <c r="L126" s="577" t="n"/>
      <c r="M126" s="578" t="n"/>
      <c r="N126" s="104" t="n"/>
      <c r="O126" s="104" t="n"/>
      <c r="P126" s="104" t="n"/>
      <c r="Q126" s="101" t="n"/>
      <c r="R126" s="101" t="n"/>
      <c r="S126" s="126" t="n"/>
      <c r="T126" s="126" t="n"/>
      <c r="U126" s="126" t="n"/>
      <c r="V126" s="126" t="n"/>
      <c r="W126" s="126" t="n"/>
      <c r="X126" s="126" t="n"/>
      <c r="Y126" s="126" t="n"/>
      <c r="Z126" s="126" t="n"/>
      <c r="AA126" s="126" t="n"/>
      <c r="AB126" s="126" t="n"/>
      <c r="AC126" s="126" t="n"/>
      <c r="AD126" s="126" t="n"/>
      <c r="AE126" s="126" t="n"/>
      <c r="AF126" s="126" t="n"/>
      <c r="AG126" s="126" t="n"/>
      <c r="AH126" s="126" t="n"/>
      <c r="AI126" s="126" t="n"/>
      <c r="AJ126" s="126" t="n"/>
      <c r="AK126" s="126" t="n"/>
      <c r="AL126" s="126" t="n"/>
      <c r="AM126" s="126" t="n"/>
      <c r="AN126" s="126" t="n"/>
      <c r="AO126" s="126" t="n"/>
      <c r="AP126" s="126" t="n"/>
      <c r="AQ126" s="126" t="n"/>
      <c r="AR126" s="126" t="n"/>
      <c r="AS126" s="126" t="n"/>
      <c r="AT126" s="126" t="n"/>
      <c r="AU126" s="126" t="n"/>
      <c r="AV126" s="126" t="n"/>
      <c r="AW126" s="126" t="n"/>
      <c r="AX126" s="126" t="n"/>
      <c r="AY126" s="126" t="n"/>
      <c r="AZ126" s="126" t="n"/>
      <c r="BA126" s="126" t="n"/>
      <c r="BB126" s="126" t="n"/>
      <c r="BC126" s="126" t="n"/>
      <c r="BD126" s="126" t="n"/>
      <c r="BE126" s="126" t="n"/>
      <c r="BF126" s="126" t="n"/>
      <c r="BG126" s="126" t="n"/>
    </row>
    <row r="127" ht="21.95" customFormat="1" customHeight="1" s="106">
      <c r="A127" s="107" t="n"/>
      <c r="B127" s="583" t="inlineStr">
        <is>
          <t xml:space="preserve"> - สายน้ำดีถักยาว 20"  </t>
        </is>
      </c>
      <c r="C127" s="580" t="n"/>
      <c r="D127" s="581" t="inlineStr">
        <is>
          <t>ชุด</t>
        </is>
      </c>
      <c r="E127" s="582" t="n"/>
      <c r="F127" s="582">
        <f>C127*E127</f>
        <v/>
      </c>
      <c r="G127" s="582" t="n"/>
      <c r="H127" s="582">
        <f>C127*G127</f>
        <v/>
      </c>
      <c r="I127" s="582">
        <f>F127+H127</f>
        <v/>
      </c>
      <c r="J127" s="126" t="n"/>
      <c r="K127" s="153" t="n"/>
      <c r="L127" s="577" t="n"/>
      <c r="M127" s="578" t="n"/>
      <c r="N127" s="104" t="n"/>
      <c r="O127" s="104" t="n"/>
      <c r="P127" s="104" t="n"/>
      <c r="Q127" s="101" t="n"/>
      <c r="R127" s="101" t="n"/>
      <c r="S127" s="126" t="n"/>
      <c r="T127" s="126" t="n"/>
      <c r="U127" s="126" t="n"/>
      <c r="V127" s="126" t="n"/>
      <c r="W127" s="126" t="n"/>
      <c r="X127" s="126" t="n"/>
      <c r="Y127" s="126" t="n"/>
      <c r="Z127" s="126" t="n"/>
      <c r="AA127" s="126" t="n"/>
      <c r="AB127" s="126" t="n"/>
      <c r="AC127" s="126" t="n"/>
      <c r="AD127" s="126" t="n"/>
      <c r="AE127" s="126" t="n"/>
      <c r="AF127" s="126" t="n"/>
      <c r="AG127" s="126" t="n"/>
      <c r="AH127" s="126" t="n"/>
      <c r="AI127" s="126" t="n"/>
      <c r="AJ127" s="126" t="n"/>
      <c r="AK127" s="126" t="n"/>
      <c r="AL127" s="126" t="n"/>
      <c r="AM127" s="126" t="n"/>
      <c r="AN127" s="126" t="n"/>
      <c r="AO127" s="126" t="n"/>
      <c r="AP127" s="126" t="n"/>
      <c r="AQ127" s="126" t="n"/>
      <c r="AR127" s="126" t="n"/>
      <c r="AS127" s="126" t="n"/>
      <c r="AT127" s="126" t="n"/>
      <c r="AU127" s="126" t="n"/>
      <c r="AV127" s="126" t="n"/>
      <c r="AW127" s="126" t="n"/>
      <c r="AX127" s="126" t="n"/>
      <c r="AY127" s="126" t="n"/>
      <c r="AZ127" s="126" t="n"/>
      <c r="BA127" s="126" t="n"/>
      <c r="BB127" s="126" t="n"/>
      <c r="BC127" s="126" t="n"/>
      <c r="BD127" s="126" t="n"/>
      <c r="BE127" s="126" t="n"/>
      <c r="BF127" s="126" t="n"/>
      <c r="BG127" s="126" t="n"/>
    </row>
    <row r="128" ht="21.95" customFormat="1" customHeight="1" s="106">
      <c r="A128" s="107" t="n"/>
      <c r="B128" s="583" t="inlineStr">
        <is>
          <t xml:space="preserve"> -  สต๊อปวาล์ว 1ทาง </t>
        </is>
      </c>
      <c r="C128" s="580" t="n"/>
      <c r="D128" s="581" t="inlineStr">
        <is>
          <t>ชุด</t>
        </is>
      </c>
      <c r="E128" s="582" t="n"/>
      <c r="F128" s="582">
        <f>C128*E128</f>
        <v/>
      </c>
      <c r="G128" s="582" t="n"/>
      <c r="H128" s="582">
        <f>C128*G128</f>
        <v/>
      </c>
      <c r="I128" s="582">
        <f>F128+H128</f>
        <v/>
      </c>
      <c r="J128" s="126" t="n"/>
      <c r="K128" s="153" t="n"/>
      <c r="L128" s="577" t="n"/>
      <c r="M128" s="578" t="n"/>
      <c r="N128" s="104" t="n"/>
      <c r="O128" s="104" t="n"/>
      <c r="P128" s="104" t="n"/>
      <c r="Q128" s="101" t="n"/>
      <c r="R128" s="101" t="n"/>
      <c r="S128" s="126" t="n"/>
      <c r="T128" s="126" t="n"/>
      <c r="U128" s="126" t="n"/>
      <c r="V128" s="126" t="n"/>
      <c r="W128" s="126" t="n"/>
      <c r="X128" s="126" t="n"/>
      <c r="Y128" s="126" t="n"/>
      <c r="Z128" s="126" t="n"/>
      <c r="AA128" s="126" t="n"/>
      <c r="AB128" s="126" t="n"/>
      <c r="AC128" s="126" t="n"/>
      <c r="AD128" s="126" t="n"/>
      <c r="AE128" s="126" t="n"/>
      <c r="AF128" s="126" t="n"/>
      <c r="AG128" s="126" t="n"/>
      <c r="AH128" s="126" t="n"/>
      <c r="AI128" s="126" t="n"/>
      <c r="AJ128" s="126" t="n"/>
      <c r="AK128" s="126" t="n"/>
      <c r="AL128" s="126" t="n"/>
      <c r="AM128" s="126" t="n"/>
      <c r="AN128" s="126" t="n"/>
      <c r="AO128" s="126" t="n"/>
      <c r="AP128" s="126" t="n"/>
      <c r="AQ128" s="126" t="n"/>
      <c r="AR128" s="126" t="n"/>
      <c r="AS128" s="126" t="n"/>
      <c r="AT128" s="126" t="n"/>
      <c r="AU128" s="126" t="n"/>
      <c r="AV128" s="126" t="n"/>
      <c r="AW128" s="126" t="n"/>
      <c r="AX128" s="126" t="n"/>
      <c r="AY128" s="126" t="n"/>
      <c r="AZ128" s="126" t="n"/>
      <c r="BA128" s="126" t="n"/>
      <c r="BB128" s="126" t="n"/>
      <c r="BC128" s="126" t="n"/>
      <c r="BD128" s="126" t="n"/>
      <c r="BE128" s="126" t="n"/>
      <c r="BF128" s="126" t="n"/>
      <c r="BG128" s="126" t="n"/>
    </row>
    <row r="129" ht="21.95" customFormat="1" customHeight="1" s="106">
      <c r="A129" s="107" t="n"/>
      <c r="B129" s="583" t="inlineStr">
        <is>
          <t xml:space="preserve"> -  สต๊อปวาล์ว 2ทาง </t>
        </is>
      </c>
      <c r="C129" s="580" t="n"/>
      <c r="D129" s="581" t="inlineStr">
        <is>
          <t>ชุด</t>
        </is>
      </c>
      <c r="E129" s="582" t="n"/>
      <c r="F129" s="582">
        <f>C129*E129</f>
        <v/>
      </c>
      <c r="G129" s="582" t="n"/>
      <c r="H129" s="582">
        <f>C129*G129</f>
        <v/>
      </c>
      <c r="I129" s="582">
        <f>F129+H129</f>
        <v/>
      </c>
      <c r="J129" s="126" t="n"/>
      <c r="K129" s="153" t="n"/>
      <c r="L129" s="577" t="n"/>
      <c r="M129" s="578" t="n"/>
      <c r="N129" s="104" t="n"/>
      <c r="O129" s="104" t="n"/>
      <c r="P129" s="104" t="n"/>
      <c r="Q129" s="101" t="n"/>
      <c r="R129" s="101" t="n"/>
      <c r="S129" s="126" t="n"/>
      <c r="T129" s="126" t="n"/>
      <c r="U129" s="126" t="n"/>
      <c r="V129" s="126" t="n"/>
      <c r="W129" s="126" t="n"/>
      <c r="X129" s="126" t="n"/>
      <c r="Y129" s="126" t="n"/>
      <c r="Z129" s="126" t="n"/>
      <c r="AA129" s="126" t="n"/>
      <c r="AB129" s="126" t="n"/>
      <c r="AC129" s="126" t="n"/>
      <c r="AD129" s="126" t="n"/>
      <c r="AE129" s="126" t="n"/>
      <c r="AF129" s="126" t="n"/>
      <c r="AG129" s="126" t="n"/>
      <c r="AH129" s="126" t="n"/>
      <c r="AI129" s="126" t="n"/>
      <c r="AJ129" s="126" t="n"/>
      <c r="AK129" s="126" t="n"/>
      <c r="AL129" s="126" t="n"/>
      <c r="AM129" s="126" t="n"/>
      <c r="AN129" s="126" t="n"/>
      <c r="AO129" s="126" t="n"/>
      <c r="AP129" s="126" t="n"/>
      <c r="AQ129" s="126" t="n"/>
      <c r="AR129" s="126" t="n"/>
      <c r="AS129" s="126" t="n"/>
      <c r="AT129" s="126" t="n"/>
      <c r="AU129" s="126" t="n"/>
      <c r="AV129" s="126" t="n"/>
      <c r="AW129" s="126" t="n"/>
      <c r="AX129" s="126" t="n"/>
      <c r="AY129" s="126" t="n"/>
      <c r="AZ129" s="126" t="n"/>
      <c r="BA129" s="126" t="n"/>
      <c r="BB129" s="126" t="n"/>
      <c r="BC129" s="126" t="n"/>
      <c r="BD129" s="126" t="n"/>
      <c r="BE129" s="126" t="n"/>
      <c r="BF129" s="126" t="n"/>
      <c r="BG129" s="126" t="n"/>
    </row>
    <row r="130" ht="21.95" customFormat="1" customHeight="1" s="106">
      <c r="A130" s="107" t="n"/>
      <c r="B130" s="583" t="inlineStr">
        <is>
          <t xml:space="preserve"> -  ตะแกรงกันกลิ่นเหลี่ยม COTTO CT640Z2(HM) 4 นิ้ว</t>
        </is>
      </c>
      <c r="C130" s="580" t="n"/>
      <c r="D130" s="581" t="inlineStr">
        <is>
          <t>ชุด</t>
        </is>
      </c>
      <c r="E130" s="582" t="n"/>
      <c r="F130" s="582">
        <f>C130*E130</f>
        <v/>
      </c>
      <c r="G130" s="582" t="n"/>
      <c r="H130" s="582">
        <f>C130*G130</f>
        <v/>
      </c>
      <c r="I130" s="582">
        <f>F130+H130</f>
        <v/>
      </c>
      <c r="J130" s="126" t="n"/>
      <c r="K130" s="153" t="n"/>
      <c r="L130" s="577" t="n"/>
      <c r="M130" s="578" t="n"/>
      <c r="N130" s="104" t="n"/>
      <c r="O130" s="104" t="n"/>
      <c r="P130" s="104" t="n"/>
      <c r="Q130" s="101" t="n"/>
      <c r="R130" s="101" t="n"/>
      <c r="S130" s="126" t="n"/>
      <c r="T130" s="126" t="n"/>
      <c r="U130" s="126" t="n"/>
      <c r="V130" s="126" t="n"/>
      <c r="W130" s="126" t="n"/>
      <c r="X130" s="126" t="n"/>
      <c r="Y130" s="126" t="n"/>
      <c r="Z130" s="126" t="n"/>
      <c r="AA130" s="126" t="n"/>
      <c r="AB130" s="126" t="n"/>
      <c r="AC130" s="126" t="n"/>
      <c r="AD130" s="126" t="n"/>
      <c r="AE130" s="126" t="n"/>
      <c r="AF130" s="126" t="n"/>
      <c r="AG130" s="126" t="n"/>
      <c r="AH130" s="126" t="n"/>
      <c r="AI130" s="126" t="n"/>
      <c r="AJ130" s="126" t="n"/>
      <c r="AK130" s="126" t="n"/>
      <c r="AL130" s="126" t="n"/>
      <c r="AM130" s="126" t="n"/>
      <c r="AN130" s="126" t="n"/>
      <c r="AO130" s="126" t="n"/>
      <c r="AP130" s="126" t="n"/>
      <c r="AQ130" s="126" t="n"/>
      <c r="AR130" s="126" t="n"/>
      <c r="AS130" s="126" t="n"/>
      <c r="AT130" s="126" t="n"/>
      <c r="AU130" s="126" t="n"/>
      <c r="AV130" s="126" t="n"/>
      <c r="AW130" s="126" t="n"/>
      <c r="AX130" s="126" t="n"/>
      <c r="AY130" s="126" t="n"/>
      <c r="AZ130" s="126" t="n"/>
      <c r="BA130" s="126" t="n"/>
      <c r="BB130" s="126" t="n"/>
      <c r="BC130" s="126" t="n"/>
      <c r="BD130" s="126" t="n"/>
      <c r="BE130" s="126" t="n"/>
      <c r="BF130" s="126" t="n"/>
      <c r="BG130" s="126" t="n"/>
    </row>
    <row r="131" ht="21.95" customFormat="1" customHeight="1" s="106">
      <c r="A131" s="107" t="n"/>
      <c r="B131" s="583" t="inlineStr">
        <is>
          <t xml:space="preserve"> -  อ่างล้างหน้าแบบฝังในเคาน์เตอร์ C-007</t>
        </is>
      </c>
      <c r="C131" s="580" t="n"/>
      <c r="D131" s="581" t="inlineStr">
        <is>
          <t>ชุด</t>
        </is>
      </c>
      <c r="E131" s="582" t="n"/>
      <c r="F131" s="582">
        <f>C131*E131</f>
        <v/>
      </c>
      <c r="G131" s="582" t="n"/>
      <c r="H131" s="582">
        <f>C131*G131</f>
        <v/>
      </c>
      <c r="I131" s="582">
        <f>F131+H131</f>
        <v/>
      </c>
      <c r="J131" s="126" t="n"/>
      <c r="K131" s="153" t="n"/>
      <c r="L131" s="577" t="n"/>
      <c r="M131" s="578" t="n"/>
      <c r="N131" s="104" t="n"/>
      <c r="O131" s="104" t="n"/>
      <c r="P131" s="104" t="n"/>
      <c r="Q131" s="101" t="n"/>
      <c r="R131" s="101" t="n"/>
      <c r="S131" s="126" t="n"/>
      <c r="T131" s="126" t="n"/>
      <c r="U131" s="126" t="n"/>
      <c r="V131" s="126" t="n"/>
      <c r="W131" s="126" t="n"/>
      <c r="X131" s="126" t="n"/>
      <c r="Y131" s="126" t="n"/>
      <c r="Z131" s="126" t="n"/>
      <c r="AA131" s="126" t="n"/>
      <c r="AB131" s="126" t="n"/>
      <c r="AC131" s="126" t="n"/>
      <c r="AD131" s="126" t="n"/>
      <c r="AE131" s="126" t="n"/>
      <c r="AF131" s="126" t="n"/>
      <c r="AG131" s="126" t="n"/>
      <c r="AH131" s="126" t="n"/>
      <c r="AI131" s="126" t="n"/>
      <c r="AJ131" s="126" t="n"/>
      <c r="AK131" s="126" t="n"/>
      <c r="AL131" s="126" t="n"/>
      <c r="AM131" s="126" t="n"/>
      <c r="AN131" s="126" t="n"/>
      <c r="AO131" s="126" t="n"/>
      <c r="AP131" s="126" t="n"/>
      <c r="AQ131" s="126" t="n"/>
      <c r="AR131" s="126" t="n"/>
      <c r="AS131" s="126" t="n"/>
      <c r="AT131" s="126" t="n"/>
      <c r="AU131" s="126" t="n"/>
      <c r="AV131" s="126" t="n"/>
      <c r="AW131" s="126" t="n"/>
      <c r="AX131" s="126" t="n"/>
      <c r="AY131" s="126" t="n"/>
      <c r="AZ131" s="126" t="n"/>
      <c r="BA131" s="126" t="n"/>
      <c r="BB131" s="126" t="n"/>
      <c r="BC131" s="126" t="n"/>
      <c r="BD131" s="126" t="n"/>
      <c r="BE131" s="126" t="n"/>
      <c r="BF131" s="126" t="n"/>
      <c r="BG131" s="126" t="n"/>
    </row>
    <row r="132" ht="21.95" customFormat="1" customHeight="1" s="106">
      <c r="A132" s="107" t="n"/>
      <c r="B132" s="583" t="inlineStr">
        <is>
          <t xml:space="preserve"> -  ก๊อกอ่างล้างหน้าเดี่ยว COTTO CT1276A(SA)(HM) สเตนเลส</t>
        </is>
      </c>
      <c r="C132" s="580" t="n"/>
      <c r="D132" s="581" t="inlineStr">
        <is>
          <t>ชุด</t>
        </is>
      </c>
      <c r="E132" s="582" t="n"/>
      <c r="F132" s="582">
        <f>C132*E132</f>
        <v/>
      </c>
      <c r="G132" s="582" t="n"/>
      <c r="H132" s="582">
        <f>C132*G132</f>
        <v/>
      </c>
      <c r="I132" s="582">
        <f>F132+H132</f>
        <v/>
      </c>
      <c r="J132" s="126" t="n"/>
      <c r="K132" s="153" t="n"/>
      <c r="L132" s="577" t="n"/>
      <c r="M132" s="578" t="n"/>
      <c r="N132" s="104" t="n"/>
      <c r="O132" s="104" t="n"/>
      <c r="P132" s="104" t="n"/>
      <c r="Q132" s="101" t="n"/>
      <c r="R132" s="101" t="n"/>
      <c r="S132" s="126" t="n"/>
      <c r="T132" s="126" t="n"/>
      <c r="U132" s="126" t="n"/>
      <c r="V132" s="126" t="n"/>
      <c r="W132" s="126" t="n"/>
      <c r="X132" s="126" t="n"/>
      <c r="Y132" s="126" t="n"/>
      <c r="Z132" s="126" t="n"/>
      <c r="AA132" s="126" t="n"/>
      <c r="AB132" s="126" t="n"/>
      <c r="AC132" s="126" t="n"/>
      <c r="AD132" s="126" t="n"/>
      <c r="AE132" s="126" t="n"/>
      <c r="AF132" s="126" t="n"/>
      <c r="AG132" s="126" t="n"/>
      <c r="AH132" s="126" t="n"/>
      <c r="AI132" s="126" t="n"/>
      <c r="AJ132" s="126" t="n"/>
      <c r="AK132" s="126" t="n"/>
      <c r="AL132" s="126" t="n"/>
      <c r="AM132" s="126" t="n"/>
      <c r="AN132" s="126" t="n"/>
      <c r="AO132" s="126" t="n"/>
      <c r="AP132" s="126" t="n"/>
      <c r="AQ132" s="126" t="n"/>
      <c r="AR132" s="126" t="n"/>
      <c r="AS132" s="126" t="n"/>
      <c r="AT132" s="126" t="n"/>
      <c r="AU132" s="126" t="n"/>
      <c r="AV132" s="126" t="n"/>
      <c r="AW132" s="126" t="n"/>
      <c r="AX132" s="126" t="n"/>
      <c r="AY132" s="126" t="n"/>
      <c r="AZ132" s="126" t="n"/>
      <c r="BA132" s="126" t="n"/>
      <c r="BB132" s="126" t="n"/>
      <c r="BC132" s="126" t="n"/>
      <c r="BD132" s="126" t="n"/>
      <c r="BE132" s="126" t="n"/>
      <c r="BF132" s="126" t="n"/>
      <c r="BG132" s="126" t="n"/>
    </row>
    <row r="133" ht="21.95" customFormat="1" customHeight="1" s="106">
      <c r="A133" s="107" t="n"/>
      <c r="B133" s="583" t="inlineStr">
        <is>
          <t xml:space="preserve"> -  ท่อน้ำทิ้งอ่างล้างหน้ากระปุก </t>
        </is>
      </c>
      <c r="C133" s="580" t="n"/>
      <c r="D133" s="581" t="inlineStr">
        <is>
          <t>ชุด</t>
        </is>
      </c>
      <c r="E133" s="582" t="n"/>
      <c r="F133" s="582">
        <f>C133*E133</f>
        <v/>
      </c>
      <c r="G133" s="582" t="n"/>
      <c r="H133" s="582">
        <f>C133*G133</f>
        <v/>
      </c>
      <c r="I133" s="582">
        <f>F133+H133</f>
        <v/>
      </c>
      <c r="J133" s="126" t="n"/>
      <c r="K133" s="153" t="n"/>
      <c r="L133" s="577" t="n"/>
      <c r="M133" s="578" t="n"/>
      <c r="N133" s="104" t="n"/>
      <c r="O133" s="104" t="n"/>
      <c r="P133" s="104" t="n"/>
      <c r="Q133" s="101" t="n"/>
      <c r="R133" s="101" t="n"/>
      <c r="S133" s="126" t="n"/>
      <c r="T133" s="126" t="n"/>
      <c r="U133" s="126" t="n"/>
      <c r="V133" s="126" t="n"/>
      <c r="W133" s="126" t="n"/>
      <c r="X133" s="126" t="n"/>
      <c r="Y133" s="126" t="n"/>
      <c r="Z133" s="126" t="n"/>
      <c r="AA133" s="126" t="n"/>
      <c r="AB133" s="126" t="n"/>
      <c r="AC133" s="126" t="n"/>
      <c r="AD133" s="126" t="n"/>
      <c r="AE133" s="126" t="n"/>
      <c r="AF133" s="126" t="n"/>
      <c r="AG133" s="126" t="n"/>
      <c r="AH133" s="126" t="n"/>
      <c r="AI133" s="126" t="n"/>
      <c r="AJ133" s="126" t="n"/>
      <c r="AK133" s="126" t="n"/>
      <c r="AL133" s="126" t="n"/>
      <c r="AM133" s="126" t="n"/>
      <c r="AN133" s="126" t="n"/>
      <c r="AO133" s="126" t="n"/>
      <c r="AP133" s="126" t="n"/>
      <c r="AQ133" s="126" t="n"/>
      <c r="AR133" s="126" t="n"/>
      <c r="AS133" s="126" t="n"/>
      <c r="AT133" s="126" t="n"/>
      <c r="AU133" s="126" t="n"/>
      <c r="AV133" s="126" t="n"/>
      <c r="AW133" s="126" t="n"/>
      <c r="AX133" s="126" t="n"/>
      <c r="AY133" s="126" t="n"/>
      <c r="AZ133" s="126" t="n"/>
      <c r="BA133" s="126" t="n"/>
      <c r="BB133" s="126" t="n"/>
      <c r="BC133" s="126" t="n"/>
      <c r="BD133" s="126" t="n"/>
      <c r="BE133" s="126" t="n"/>
      <c r="BF133" s="126" t="n"/>
      <c r="BG133" s="126" t="n"/>
    </row>
    <row r="134" ht="21.95" customFormat="1" customHeight="1" s="106">
      <c r="A134" s="180" t="n"/>
      <c r="B134" s="583" t="inlineStr">
        <is>
          <t xml:space="preserve"> -  สะดืออ่างล้างหน้าแบบกด </t>
        </is>
      </c>
      <c r="C134" s="580" t="n"/>
      <c r="D134" s="581" t="inlineStr">
        <is>
          <t>ชุด</t>
        </is>
      </c>
      <c r="E134" s="582" t="n"/>
      <c r="F134" s="582">
        <f>C134*E134</f>
        <v/>
      </c>
      <c r="G134" s="582" t="n"/>
      <c r="H134" s="582">
        <f>C134*G134</f>
        <v/>
      </c>
      <c r="I134" s="582">
        <f>F134+H134</f>
        <v/>
      </c>
      <c r="J134" s="126" t="n"/>
      <c r="K134" s="101" t="n"/>
      <c r="L134" s="577" t="n"/>
      <c r="M134" s="578" t="n"/>
      <c r="N134" s="104" t="n"/>
      <c r="O134" s="104" t="n"/>
      <c r="P134" s="104" t="n"/>
      <c r="Q134" s="101" t="n"/>
      <c r="R134" s="101" t="n"/>
      <c r="S134" s="126" t="n"/>
      <c r="T134" s="126" t="n"/>
      <c r="U134" s="126" t="n"/>
      <c r="V134" s="126" t="n"/>
      <c r="W134" s="126" t="n"/>
      <c r="X134" s="126" t="n"/>
      <c r="Y134" s="126" t="n"/>
      <c r="Z134" s="126" t="n"/>
      <c r="AA134" s="126" t="n"/>
      <c r="AB134" s="126" t="n"/>
      <c r="AC134" s="126" t="n"/>
      <c r="AD134" s="126" t="n"/>
      <c r="AE134" s="126" t="n"/>
      <c r="AF134" s="126" t="n"/>
      <c r="AG134" s="126" t="n"/>
      <c r="AH134" s="126" t="n"/>
      <c r="AI134" s="126" t="n"/>
      <c r="AJ134" s="126" t="n"/>
      <c r="AK134" s="126" t="n"/>
      <c r="AL134" s="126" t="n"/>
      <c r="AM134" s="126" t="n"/>
      <c r="AN134" s="126" t="n"/>
      <c r="AO134" s="126" t="n"/>
      <c r="AP134" s="126" t="n"/>
      <c r="AQ134" s="126" t="n"/>
      <c r="AR134" s="126" t="n"/>
      <c r="AS134" s="126" t="n"/>
      <c r="AT134" s="126" t="n"/>
      <c r="AU134" s="126" t="n"/>
      <c r="AV134" s="126" t="n"/>
      <c r="AW134" s="126" t="n"/>
      <c r="AX134" s="126" t="n"/>
      <c r="AY134" s="126" t="n"/>
      <c r="AZ134" s="126" t="n"/>
      <c r="BA134" s="126" t="n"/>
      <c r="BB134" s="126" t="n"/>
      <c r="BC134" s="126" t="n"/>
      <c r="BD134" s="126" t="n"/>
      <c r="BE134" s="126" t="n"/>
      <c r="BF134" s="126" t="n"/>
      <c r="BG134" s="126" t="n"/>
    </row>
    <row r="135" ht="21.95" customFormat="1" customHeight="1" s="106">
      <c r="A135" s="180" t="n"/>
      <c r="B135" s="583" t="inlineStr">
        <is>
          <t xml:space="preserve"> -  ก๊อกน้ำออกผนัง </t>
        </is>
      </c>
      <c r="C135" s="580" t="n"/>
      <c r="D135" s="581" t="inlineStr">
        <is>
          <t>ชุด</t>
        </is>
      </c>
      <c r="E135" s="582" t="n"/>
      <c r="F135" s="582">
        <f>C135*E135</f>
        <v/>
      </c>
      <c r="G135" s="582" t="n"/>
      <c r="H135" s="582">
        <f>C135*G135</f>
        <v/>
      </c>
      <c r="I135" s="582">
        <f>F135+H135</f>
        <v/>
      </c>
      <c r="J135" s="126" t="n"/>
      <c r="K135" s="101" t="n"/>
      <c r="L135" s="577" t="n"/>
      <c r="M135" s="578" t="n"/>
      <c r="N135" s="104" t="n"/>
      <c r="O135" s="104" t="n"/>
      <c r="P135" s="104" t="n"/>
      <c r="Q135" s="101" t="n"/>
      <c r="R135" s="101" t="n"/>
      <c r="S135" s="126" t="n"/>
      <c r="T135" s="126" t="n"/>
      <c r="U135" s="126" t="n"/>
      <c r="V135" s="126" t="n"/>
      <c r="W135" s="126" t="n"/>
      <c r="X135" s="126" t="n"/>
      <c r="Y135" s="126" t="n"/>
      <c r="Z135" s="126" t="n"/>
      <c r="AA135" s="126" t="n"/>
      <c r="AB135" s="126" t="n"/>
      <c r="AC135" s="126" t="n"/>
      <c r="AD135" s="126" t="n"/>
      <c r="AE135" s="126" t="n"/>
      <c r="AF135" s="126" t="n"/>
      <c r="AG135" s="126" t="n"/>
      <c r="AH135" s="126" t="n"/>
      <c r="AI135" s="126" t="n"/>
      <c r="AJ135" s="126" t="n"/>
      <c r="AK135" s="126" t="n"/>
      <c r="AL135" s="126" t="n"/>
      <c r="AM135" s="126" t="n"/>
      <c r="AN135" s="126" t="n"/>
      <c r="AO135" s="126" t="n"/>
      <c r="AP135" s="126" t="n"/>
      <c r="AQ135" s="126" t="n"/>
      <c r="AR135" s="126" t="n"/>
      <c r="AS135" s="126" t="n"/>
      <c r="AT135" s="126" t="n"/>
      <c r="AU135" s="126" t="n"/>
      <c r="AV135" s="126" t="n"/>
      <c r="AW135" s="126" t="n"/>
      <c r="AX135" s="126" t="n"/>
      <c r="AY135" s="126" t="n"/>
      <c r="AZ135" s="126" t="n"/>
      <c r="BA135" s="126" t="n"/>
      <c r="BB135" s="126" t="n"/>
      <c r="BC135" s="126" t="n"/>
      <c r="BD135" s="126" t="n"/>
      <c r="BE135" s="126" t="n"/>
      <c r="BF135" s="126" t="n"/>
      <c r="BG135" s="126" t="n"/>
    </row>
    <row r="136" ht="21.95" customFormat="1" customHeight="1" s="106">
      <c r="A136" s="180" t="n"/>
      <c r="B136" s="583" t="inlineStr">
        <is>
          <t xml:space="preserve"> -  โถปัสสาวะชาย C-307</t>
        </is>
      </c>
      <c r="C136" s="580" t="n"/>
      <c r="D136" s="581" t="inlineStr">
        <is>
          <t>ชุด</t>
        </is>
      </c>
      <c r="E136" s="582" t="n"/>
      <c r="F136" s="582">
        <f>C136*E136</f>
        <v/>
      </c>
      <c r="G136" s="582" t="n"/>
      <c r="H136" s="582">
        <f>C136*G136</f>
        <v/>
      </c>
      <c r="I136" s="582">
        <f>F136+H136</f>
        <v/>
      </c>
      <c r="J136" s="126" t="n"/>
      <c r="K136" s="101" t="n"/>
      <c r="L136" s="577" t="n"/>
      <c r="M136" s="578" t="n"/>
      <c r="N136" s="104" t="n"/>
      <c r="O136" s="104" t="n"/>
      <c r="P136" s="104" t="n"/>
      <c r="Q136" s="101" t="n"/>
      <c r="R136" s="101" t="n"/>
      <c r="S136" s="126" t="n"/>
      <c r="T136" s="126" t="n"/>
      <c r="U136" s="126" t="n"/>
      <c r="V136" s="126" t="n"/>
      <c r="W136" s="126" t="n"/>
      <c r="X136" s="126" t="n"/>
      <c r="Y136" s="126" t="n"/>
      <c r="Z136" s="126" t="n"/>
      <c r="AA136" s="126" t="n"/>
      <c r="AB136" s="126" t="n"/>
      <c r="AC136" s="126" t="n"/>
      <c r="AD136" s="126" t="n"/>
      <c r="AE136" s="126" t="n"/>
      <c r="AF136" s="126" t="n"/>
      <c r="AG136" s="126" t="n"/>
      <c r="AH136" s="126" t="n"/>
      <c r="AI136" s="126" t="n"/>
      <c r="AJ136" s="126" t="n"/>
      <c r="AK136" s="126" t="n"/>
      <c r="AL136" s="126" t="n"/>
      <c r="AM136" s="126" t="n"/>
      <c r="AN136" s="126" t="n"/>
      <c r="AO136" s="126" t="n"/>
      <c r="AP136" s="126" t="n"/>
      <c r="AQ136" s="126" t="n"/>
      <c r="AR136" s="126" t="n"/>
      <c r="AS136" s="126" t="n"/>
      <c r="AT136" s="126" t="n"/>
      <c r="AU136" s="126" t="n"/>
      <c r="AV136" s="126" t="n"/>
      <c r="AW136" s="126" t="n"/>
      <c r="AX136" s="126" t="n"/>
      <c r="AY136" s="126" t="n"/>
      <c r="AZ136" s="126" t="n"/>
      <c r="BA136" s="126" t="n"/>
      <c r="BB136" s="126" t="n"/>
      <c r="BC136" s="126" t="n"/>
      <c r="BD136" s="126" t="n"/>
      <c r="BE136" s="126" t="n"/>
      <c r="BF136" s="126" t="n"/>
      <c r="BG136" s="126" t="n"/>
    </row>
    <row r="137" ht="21.95" customFormat="1" customHeight="1" s="106">
      <c r="A137" s="180" t="n"/>
      <c r="B137" s="583" t="inlineStr">
        <is>
          <t xml:space="preserve"> -  ฟลัชวาล์วโถปัสสาวะชาย ct741</t>
        </is>
      </c>
      <c r="C137" s="580" t="n"/>
      <c r="D137" s="581" t="inlineStr">
        <is>
          <t>ชุด</t>
        </is>
      </c>
      <c r="E137" s="582" t="n"/>
      <c r="F137" s="582">
        <f>C137*E137</f>
        <v/>
      </c>
      <c r="G137" s="582" t="n"/>
      <c r="H137" s="582">
        <f>C137*G137</f>
        <v/>
      </c>
      <c r="I137" s="582">
        <f>F137+H137</f>
        <v/>
      </c>
      <c r="J137" s="126" t="n"/>
      <c r="K137" s="101" t="n"/>
      <c r="L137" s="577" t="n"/>
      <c r="M137" s="578" t="n"/>
      <c r="N137" s="104" t="n"/>
      <c r="O137" s="104" t="n"/>
      <c r="P137" s="104" t="n"/>
      <c r="Q137" s="101" t="n"/>
      <c r="R137" s="101" t="n"/>
      <c r="S137" s="126" t="n"/>
      <c r="T137" s="126" t="n"/>
      <c r="U137" s="126" t="n"/>
      <c r="V137" s="126" t="n"/>
      <c r="W137" s="126" t="n"/>
      <c r="X137" s="126" t="n"/>
      <c r="Y137" s="126" t="n"/>
      <c r="Z137" s="126" t="n"/>
      <c r="AA137" s="126" t="n"/>
      <c r="AB137" s="126" t="n"/>
      <c r="AC137" s="126" t="n"/>
      <c r="AD137" s="126" t="n"/>
      <c r="AE137" s="126" t="n"/>
      <c r="AF137" s="126" t="n"/>
      <c r="AG137" s="126" t="n"/>
      <c r="AH137" s="126" t="n"/>
      <c r="AI137" s="126" t="n"/>
      <c r="AJ137" s="126" t="n"/>
      <c r="AK137" s="126" t="n"/>
      <c r="AL137" s="126" t="n"/>
      <c r="AM137" s="126" t="n"/>
      <c r="AN137" s="126" t="n"/>
      <c r="AO137" s="126" t="n"/>
      <c r="AP137" s="126" t="n"/>
      <c r="AQ137" s="126" t="n"/>
      <c r="AR137" s="126" t="n"/>
      <c r="AS137" s="126" t="n"/>
      <c r="AT137" s="126" t="n"/>
      <c r="AU137" s="126" t="n"/>
      <c r="AV137" s="126" t="n"/>
      <c r="AW137" s="126" t="n"/>
      <c r="AX137" s="126" t="n"/>
      <c r="AY137" s="126" t="n"/>
      <c r="AZ137" s="126" t="n"/>
      <c r="BA137" s="126" t="n"/>
      <c r="BB137" s="126" t="n"/>
      <c r="BC137" s="126" t="n"/>
      <c r="BD137" s="126" t="n"/>
      <c r="BE137" s="126" t="n"/>
      <c r="BF137" s="126" t="n"/>
      <c r="BG137" s="126" t="n"/>
    </row>
    <row r="138" ht="21.95" customFormat="1" customHeight="1" s="106">
      <c r="A138" s="180" t="n"/>
      <c r="B138" s="583" t="inlineStr">
        <is>
          <t xml:space="preserve"> -  ท่อน้ำทิ้งโถปัสสาวะชายกระปุก</t>
        </is>
      </c>
      <c r="C138" s="580" t="n"/>
      <c r="D138" s="581" t="inlineStr">
        <is>
          <t>ชุด</t>
        </is>
      </c>
      <c r="E138" s="582" t="n"/>
      <c r="F138" s="582">
        <f>C138*E138</f>
        <v/>
      </c>
      <c r="G138" s="582" t="n"/>
      <c r="H138" s="582">
        <f>C138*G138</f>
        <v/>
      </c>
      <c r="I138" s="582">
        <f>F138+H138</f>
        <v/>
      </c>
      <c r="J138" s="126" t="n"/>
      <c r="K138" s="101" t="n"/>
      <c r="L138" s="577" t="n"/>
      <c r="M138" s="578" t="n"/>
      <c r="N138" s="104" t="n"/>
      <c r="O138" s="104" t="n"/>
      <c r="P138" s="104" t="n"/>
      <c r="Q138" s="101" t="n"/>
      <c r="R138" s="101" t="n"/>
      <c r="S138" s="126" t="n"/>
      <c r="T138" s="126" t="n"/>
      <c r="U138" s="126" t="n"/>
      <c r="V138" s="126" t="n"/>
      <c r="W138" s="126" t="n"/>
      <c r="X138" s="126" t="n"/>
      <c r="Y138" s="126" t="n"/>
      <c r="Z138" s="126" t="n"/>
      <c r="AA138" s="126" t="n"/>
      <c r="AB138" s="126" t="n"/>
      <c r="AC138" s="126" t="n"/>
      <c r="AD138" s="126" t="n"/>
      <c r="AE138" s="126" t="n"/>
      <c r="AF138" s="126" t="n"/>
      <c r="AG138" s="126" t="n"/>
      <c r="AH138" s="126" t="n"/>
      <c r="AI138" s="126" t="n"/>
      <c r="AJ138" s="126" t="n"/>
      <c r="AK138" s="126" t="n"/>
      <c r="AL138" s="126" t="n"/>
      <c r="AM138" s="126" t="n"/>
      <c r="AN138" s="126" t="n"/>
      <c r="AO138" s="126" t="n"/>
      <c r="AP138" s="126" t="n"/>
      <c r="AQ138" s="126" t="n"/>
      <c r="AR138" s="126" t="n"/>
      <c r="AS138" s="126" t="n"/>
      <c r="AT138" s="126" t="n"/>
      <c r="AU138" s="126" t="n"/>
      <c r="AV138" s="126" t="n"/>
      <c r="AW138" s="126" t="n"/>
      <c r="AX138" s="126" t="n"/>
      <c r="AY138" s="126" t="n"/>
      <c r="AZ138" s="126" t="n"/>
      <c r="BA138" s="126" t="n"/>
      <c r="BB138" s="126" t="n"/>
      <c r="BC138" s="126" t="n"/>
      <c r="BD138" s="126" t="n"/>
      <c r="BE138" s="126" t="n"/>
      <c r="BF138" s="126" t="n"/>
      <c r="BG138" s="126" t="n"/>
    </row>
    <row r="139" ht="21.95" customFormat="1" customHeight="1" s="106">
      <c r="A139" s="180" t="n"/>
      <c r="B139" s="583" t="inlineStr">
        <is>
          <t xml:space="preserve"> -  กระจกเงาส่องหน้ากรอบอลูมิเนียม ขนาด 0.90 x 0.90 เมตร </t>
        </is>
      </c>
      <c r="C139" s="580" t="n"/>
      <c r="D139" s="581" t="inlineStr">
        <is>
          <t>ชุด</t>
        </is>
      </c>
      <c r="E139" s="582" t="n"/>
      <c r="F139" s="582">
        <f>C139*E139</f>
        <v/>
      </c>
      <c r="G139" s="582" t="n"/>
      <c r="H139" s="582">
        <f>C139*G139</f>
        <v/>
      </c>
      <c r="I139" s="582">
        <f>F139+H139</f>
        <v/>
      </c>
      <c r="J139" s="126" t="n"/>
      <c r="K139" s="101" t="n"/>
      <c r="L139" s="577" t="n"/>
      <c r="M139" s="578" t="n"/>
      <c r="N139" s="104" t="n"/>
      <c r="O139" s="104" t="n"/>
      <c r="P139" s="104" t="n"/>
      <c r="Q139" s="101" t="n"/>
      <c r="R139" s="101" t="n"/>
      <c r="S139" s="126" t="n"/>
      <c r="T139" s="126" t="n"/>
      <c r="U139" s="126" t="n"/>
      <c r="V139" s="126" t="n"/>
      <c r="W139" s="126" t="n"/>
      <c r="X139" s="126" t="n"/>
      <c r="Y139" s="126" t="n"/>
      <c r="Z139" s="126" t="n"/>
      <c r="AA139" s="126" t="n"/>
      <c r="AB139" s="126" t="n"/>
      <c r="AC139" s="126" t="n"/>
      <c r="AD139" s="126" t="n"/>
      <c r="AE139" s="126" t="n"/>
      <c r="AF139" s="126" t="n"/>
      <c r="AG139" s="126" t="n"/>
      <c r="AH139" s="126" t="n"/>
      <c r="AI139" s="126" t="n"/>
      <c r="AJ139" s="126" t="n"/>
      <c r="AK139" s="126" t="n"/>
      <c r="AL139" s="126" t="n"/>
      <c r="AM139" s="126" t="n"/>
      <c r="AN139" s="126" t="n"/>
      <c r="AO139" s="126" t="n"/>
      <c r="AP139" s="126" t="n"/>
      <c r="AQ139" s="126" t="n"/>
      <c r="AR139" s="126" t="n"/>
      <c r="AS139" s="126" t="n"/>
      <c r="AT139" s="126" t="n"/>
      <c r="AU139" s="126" t="n"/>
      <c r="AV139" s="126" t="n"/>
      <c r="AW139" s="126" t="n"/>
      <c r="AX139" s="126" t="n"/>
      <c r="AY139" s="126" t="n"/>
      <c r="AZ139" s="126" t="n"/>
      <c r="BA139" s="126" t="n"/>
      <c r="BB139" s="126" t="n"/>
      <c r="BC139" s="126" t="n"/>
      <c r="BD139" s="126" t="n"/>
      <c r="BE139" s="126" t="n"/>
      <c r="BF139" s="126" t="n"/>
      <c r="BG139" s="126" t="n"/>
    </row>
    <row r="140" ht="21.95" customFormat="1" customHeight="1" s="106">
      <c r="A140" s="180" t="n"/>
      <c r="B140" s="583" t="inlineStr">
        <is>
          <t xml:space="preserve"> -  กระจกเงาส่องหน้ากรอบอลูมิเนียม ขนาด 0.90 x 1.70 เมตร </t>
        </is>
      </c>
      <c r="C140" s="580" t="n"/>
      <c r="D140" s="581" t="inlineStr">
        <is>
          <t>ชุด</t>
        </is>
      </c>
      <c r="E140" s="582" t="n"/>
      <c r="F140" s="582">
        <f>C140*E140</f>
        <v/>
      </c>
      <c r="G140" s="582" t="n"/>
      <c r="H140" s="582">
        <f>C140*G140</f>
        <v/>
      </c>
      <c r="I140" s="582">
        <f>F140+H140</f>
        <v/>
      </c>
      <c r="J140" s="126" t="n"/>
      <c r="K140" s="101" t="n"/>
      <c r="L140" s="577" t="n"/>
      <c r="M140" s="578" t="n"/>
      <c r="N140" s="104" t="n"/>
      <c r="O140" s="104" t="n"/>
      <c r="P140" s="104" t="n"/>
      <c r="Q140" s="101" t="n"/>
      <c r="R140" s="101" t="n"/>
      <c r="S140" s="126" t="n"/>
      <c r="T140" s="126" t="n"/>
      <c r="U140" s="126" t="n"/>
      <c r="V140" s="126" t="n"/>
      <c r="W140" s="126" t="n"/>
      <c r="X140" s="126" t="n"/>
      <c r="Y140" s="126" t="n"/>
      <c r="Z140" s="126" t="n"/>
      <c r="AA140" s="126" t="n"/>
      <c r="AB140" s="126" t="n"/>
      <c r="AC140" s="126" t="n"/>
      <c r="AD140" s="126" t="n"/>
      <c r="AE140" s="126" t="n"/>
      <c r="AF140" s="126" t="n"/>
      <c r="AG140" s="126" t="n"/>
      <c r="AH140" s="126" t="n"/>
      <c r="AI140" s="126" t="n"/>
      <c r="AJ140" s="126" t="n"/>
      <c r="AK140" s="126" t="n"/>
      <c r="AL140" s="126" t="n"/>
      <c r="AM140" s="126" t="n"/>
      <c r="AN140" s="126" t="n"/>
      <c r="AO140" s="126" t="n"/>
      <c r="AP140" s="126" t="n"/>
      <c r="AQ140" s="126" t="n"/>
      <c r="AR140" s="126" t="n"/>
      <c r="AS140" s="126" t="n"/>
      <c r="AT140" s="126" t="n"/>
      <c r="AU140" s="126" t="n"/>
      <c r="AV140" s="126" t="n"/>
      <c r="AW140" s="126" t="n"/>
      <c r="AX140" s="126" t="n"/>
      <c r="AY140" s="126" t="n"/>
      <c r="AZ140" s="126" t="n"/>
      <c r="BA140" s="126" t="n"/>
      <c r="BB140" s="126" t="n"/>
      <c r="BC140" s="126" t="n"/>
      <c r="BD140" s="126" t="n"/>
      <c r="BE140" s="126" t="n"/>
      <c r="BF140" s="126" t="n"/>
      <c r="BG140" s="126" t="n"/>
    </row>
    <row r="141" ht="21.95" customFormat="1" customHeight="1" s="106">
      <c r="A141" s="180" t="n"/>
      <c r="B141" s="583" t="inlineStr">
        <is>
          <t xml:space="preserve"> -  กระจกเงาส่องหน้ากรอบอลูมิเนียม ขนาด 0.90 x 3.30 เมตร</t>
        </is>
      </c>
      <c r="C141" s="580" t="n"/>
      <c r="D141" s="581" t="inlineStr">
        <is>
          <t>ชุด</t>
        </is>
      </c>
      <c r="E141" s="582" t="n"/>
      <c r="F141" s="582">
        <f>C141*E141</f>
        <v/>
      </c>
      <c r="G141" s="582" t="n"/>
      <c r="H141" s="582">
        <f>C141*G141</f>
        <v/>
      </c>
      <c r="I141" s="582">
        <f>F141+H141</f>
        <v/>
      </c>
      <c r="J141" s="126" t="n"/>
      <c r="K141" s="101" t="n"/>
      <c r="L141" s="577" t="n"/>
      <c r="M141" s="578" t="n"/>
      <c r="N141" s="104" t="n"/>
      <c r="O141" s="104" t="n"/>
      <c r="P141" s="104" t="n"/>
      <c r="Q141" s="101" t="n"/>
      <c r="R141" s="101" t="n"/>
      <c r="S141" s="126" t="n"/>
      <c r="T141" s="126" t="n"/>
      <c r="U141" s="126" t="n"/>
      <c r="V141" s="126" t="n"/>
      <c r="W141" s="126" t="n"/>
      <c r="X141" s="126" t="n"/>
      <c r="Y141" s="126" t="n"/>
      <c r="Z141" s="126" t="n"/>
      <c r="AA141" s="126" t="n"/>
      <c r="AB141" s="126" t="n"/>
      <c r="AC141" s="126" t="n"/>
      <c r="AD141" s="126" t="n"/>
      <c r="AE141" s="126" t="n"/>
      <c r="AF141" s="126" t="n"/>
      <c r="AG141" s="126" t="n"/>
      <c r="AH141" s="126" t="n"/>
      <c r="AI141" s="126" t="n"/>
      <c r="AJ141" s="126" t="n"/>
      <c r="AK141" s="126" t="n"/>
      <c r="AL141" s="126" t="n"/>
      <c r="AM141" s="126" t="n"/>
      <c r="AN141" s="126" t="n"/>
      <c r="AO141" s="126" t="n"/>
      <c r="AP141" s="126" t="n"/>
      <c r="AQ141" s="126" t="n"/>
      <c r="AR141" s="126" t="n"/>
      <c r="AS141" s="126" t="n"/>
      <c r="AT141" s="126" t="n"/>
      <c r="AU141" s="126" t="n"/>
      <c r="AV141" s="126" t="n"/>
      <c r="AW141" s="126" t="n"/>
      <c r="AX141" s="126" t="n"/>
      <c r="AY141" s="126" t="n"/>
      <c r="AZ141" s="126" t="n"/>
      <c r="BA141" s="126" t="n"/>
      <c r="BB141" s="126" t="n"/>
      <c r="BC141" s="126" t="n"/>
      <c r="BD141" s="126" t="n"/>
      <c r="BE141" s="126" t="n"/>
      <c r="BF141" s="126" t="n"/>
      <c r="BG141" s="126" t="n"/>
    </row>
    <row r="142" ht="21.95" customFormat="1" customHeight="1" s="106">
      <c r="A142" s="180" t="n"/>
      <c r="B142" s="583" t="inlineStr">
        <is>
          <t xml:space="preserve"> -   TOP อ่างล้างหน้าหินแกรนิตสีดำ ขนาด 0.60 x 3.30 เมตร </t>
        </is>
      </c>
      <c r="C142" s="580" t="n"/>
      <c r="D142" s="581" t="inlineStr">
        <is>
          <t>ชุด</t>
        </is>
      </c>
      <c r="E142" s="582" t="n"/>
      <c r="F142" s="582">
        <f>C142*E142</f>
        <v/>
      </c>
      <c r="G142" s="582" t="n"/>
      <c r="H142" s="582">
        <f>C142*G142</f>
        <v/>
      </c>
      <c r="I142" s="582">
        <f>F142+H142</f>
        <v/>
      </c>
      <c r="J142" s="126" t="n"/>
      <c r="K142" s="101" t="n"/>
      <c r="L142" s="577" t="n"/>
      <c r="M142" s="578" t="n"/>
      <c r="N142" s="104" t="n"/>
      <c r="O142" s="104" t="n"/>
      <c r="P142" s="104" t="n"/>
      <c r="Q142" s="101" t="n"/>
      <c r="R142" s="101" t="n"/>
      <c r="S142" s="126" t="n"/>
      <c r="T142" s="126" t="n"/>
      <c r="U142" s="126" t="n"/>
      <c r="V142" s="126" t="n"/>
      <c r="W142" s="126" t="n"/>
      <c r="X142" s="126" t="n"/>
      <c r="Y142" s="126" t="n"/>
      <c r="Z142" s="126" t="n"/>
      <c r="AA142" s="126" t="n"/>
      <c r="AB142" s="126" t="n"/>
      <c r="AC142" s="126" t="n"/>
      <c r="AD142" s="126" t="n"/>
      <c r="AE142" s="126" t="n"/>
      <c r="AF142" s="126" t="n"/>
      <c r="AG142" s="126" t="n"/>
      <c r="AH142" s="126" t="n"/>
      <c r="AI142" s="126" t="n"/>
      <c r="AJ142" s="126" t="n"/>
      <c r="AK142" s="126" t="n"/>
      <c r="AL142" s="126" t="n"/>
      <c r="AM142" s="126" t="n"/>
      <c r="AN142" s="126" t="n"/>
      <c r="AO142" s="126" t="n"/>
      <c r="AP142" s="126" t="n"/>
      <c r="AQ142" s="126" t="n"/>
      <c r="AR142" s="126" t="n"/>
      <c r="AS142" s="126" t="n"/>
      <c r="AT142" s="126" t="n"/>
      <c r="AU142" s="126" t="n"/>
      <c r="AV142" s="126" t="n"/>
      <c r="AW142" s="126" t="n"/>
      <c r="AX142" s="126" t="n"/>
      <c r="AY142" s="126" t="n"/>
      <c r="AZ142" s="126" t="n"/>
      <c r="BA142" s="126" t="n"/>
      <c r="BB142" s="126" t="n"/>
      <c r="BC142" s="126" t="n"/>
      <c r="BD142" s="126" t="n"/>
      <c r="BE142" s="126" t="n"/>
      <c r="BF142" s="126" t="n"/>
      <c r="BG142" s="126" t="n"/>
    </row>
    <row r="143" ht="21.95" customFormat="1" customHeight="1" s="106">
      <c r="A143" s="180" t="n"/>
      <c r="B143" s="583" t="inlineStr">
        <is>
          <t xml:space="preserve"> -  TOP อ่างล้างหน้าหินแกรนิตสีดำ ขนาด 0.60 x 1.70 เมตร</t>
        </is>
      </c>
      <c r="C143" s="580" t="n"/>
      <c r="D143" s="581" t="inlineStr">
        <is>
          <t>ชุด</t>
        </is>
      </c>
      <c r="E143" s="582" t="n"/>
      <c r="F143" s="582">
        <f>C143*E143</f>
        <v/>
      </c>
      <c r="G143" s="582" t="n"/>
      <c r="H143" s="582">
        <f>C143*G143</f>
        <v/>
      </c>
      <c r="I143" s="582">
        <f>F143+H143</f>
        <v/>
      </c>
      <c r="J143" s="126" t="n"/>
      <c r="K143" s="101" t="n"/>
      <c r="L143" s="577" t="n"/>
      <c r="M143" s="578" t="n"/>
      <c r="N143" s="104" t="n"/>
      <c r="O143" s="104" t="n"/>
      <c r="P143" s="104" t="n"/>
      <c r="Q143" s="101" t="n"/>
      <c r="R143" s="101" t="n"/>
      <c r="S143" s="126" t="n"/>
      <c r="T143" s="126" t="n"/>
      <c r="U143" s="126" t="n"/>
      <c r="V143" s="126" t="n"/>
      <c r="W143" s="126" t="n"/>
      <c r="X143" s="126" t="n"/>
      <c r="Y143" s="126" t="n"/>
      <c r="Z143" s="126" t="n"/>
      <c r="AA143" s="126" t="n"/>
      <c r="AB143" s="126" t="n"/>
      <c r="AC143" s="126" t="n"/>
      <c r="AD143" s="126" t="n"/>
      <c r="AE143" s="126" t="n"/>
      <c r="AF143" s="126" t="n"/>
      <c r="AG143" s="126" t="n"/>
      <c r="AH143" s="126" t="n"/>
      <c r="AI143" s="126" t="n"/>
      <c r="AJ143" s="126" t="n"/>
      <c r="AK143" s="126" t="n"/>
      <c r="AL143" s="126" t="n"/>
      <c r="AM143" s="126" t="n"/>
      <c r="AN143" s="126" t="n"/>
      <c r="AO143" s="126" t="n"/>
      <c r="AP143" s="126" t="n"/>
      <c r="AQ143" s="126" t="n"/>
      <c r="AR143" s="126" t="n"/>
      <c r="AS143" s="126" t="n"/>
      <c r="AT143" s="126" t="n"/>
      <c r="AU143" s="126" t="n"/>
      <c r="AV143" s="126" t="n"/>
      <c r="AW143" s="126" t="n"/>
      <c r="AX143" s="126" t="n"/>
      <c r="AY143" s="126" t="n"/>
      <c r="AZ143" s="126" t="n"/>
      <c r="BA143" s="126" t="n"/>
      <c r="BB143" s="126" t="n"/>
      <c r="BC143" s="126" t="n"/>
      <c r="BD143" s="126" t="n"/>
      <c r="BE143" s="126" t="n"/>
      <c r="BF143" s="126" t="n"/>
      <c r="BG143" s="126" t="n"/>
    </row>
    <row r="144" ht="21.95" customFormat="1" customHeight="1" s="106">
      <c r="A144" s="180" t="n"/>
      <c r="B144" s="583" t="inlineStr">
        <is>
          <t xml:space="preserve"> -  TOP อ่างล้างหน้าหินแกรนิตสีดำ ขนาด 0.60 x 1.00 เมตร </t>
        </is>
      </c>
      <c r="C144" s="580" t="n"/>
      <c r="D144" s="581" t="inlineStr">
        <is>
          <t>ชุด</t>
        </is>
      </c>
      <c r="E144" s="582" t="n"/>
      <c r="F144" s="582">
        <f>C144*E144</f>
        <v/>
      </c>
      <c r="G144" s="582" t="n"/>
      <c r="H144" s="582">
        <f>C144*G144</f>
        <v/>
      </c>
      <c r="I144" s="582">
        <f>F144+H144</f>
        <v/>
      </c>
      <c r="J144" s="126" t="n"/>
      <c r="K144" s="153" t="n"/>
      <c r="L144" s="577" t="n"/>
      <c r="M144" s="578" t="n"/>
      <c r="N144" s="104" t="n"/>
      <c r="O144" s="104" t="n"/>
      <c r="P144" s="104" t="n"/>
      <c r="Q144" s="101" t="n"/>
      <c r="R144" s="101" t="n"/>
      <c r="S144" s="126" t="n"/>
      <c r="T144" s="126" t="n"/>
      <c r="U144" s="126" t="n"/>
      <c r="V144" s="126" t="n"/>
      <c r="W144" s="126" t="n"/>
      <c r="X144" s="126" t="n"/>
      <c r="Y144" s="126" t="n"/>
      <c r="Z144" s="126" t="n"/>
      <c r="AA144" s="126" t="n"/>
      <c r="AB144" s="126" t="n"/>
      <c r="AC144" s="126" t="n"/>
      <c r="AD144" s="126" t="n"/>
      <c r="AE144" s="126" t="n"/>
      <c r="AF144" s="126" t="n"/>
      <c r="AG144" s="126" t="n"/>
      <c r="AH144" s="126" t="n"/>
      <c r="AI144" s="126" t="n"/>
      <c r="AJ144" s="126" t="n"/>
      <c r="AK144" s="126" t="n"/>
      <c r="AL144" s="126" t="n"/>
      <c r="AM144" s="126" t="n"/>
      <c r="AN144" s="126" t="n"/>
      <c r="AO144" s="126" t="n"/>
      <c r="AP144" s="126" t="n"/>
      <c r="AQ144" s="126" t="n"/>
      <c r="AR144" s="126" t="n"/>
      <c r="AS144" s="126" t="n"/>
      <c r="AT144" s="126" t="n"/>
      <c r="AU144" s="126" t="n"/>
      <c r="AV144" s="126" t="n"/>
      <c r="AW144" s="126" t="n"/>
      <c r="AX144" s="126" t="n"/>
      <c r="AY144" s="126" t="n"/>
      <c r="AZ144" s="126" t="n"/>
      <c r="BA144" s="126" t="n"/>
      <c r="BB144" s="126" t="n"/>
      <c r="BC144" s="126" t="n"/>
      <c r="BD144" s="126" t="n"/>
      <c r="BE144" s="126" t="n"/>
      <c r="BF144" s="126" t="n"/>
      <c r="BG144" s="126" t="n"/>
    </row>
    <row r="145" ht="21.95" customFormat="1" customHeight="1" s="106">
      <c r="A145" s="180" t="n"/>
      <c r="B145" s="583" t="inlineStr">
        <is>
          <t xml:space="preserve"> -  TOP เคาน์เตอร์หินแกรนิตสีดำ ขนาด 0.20 x 3.30 เมตร </t>
        </is>
      </c>
      <c r="C145" s="580" t="n"/>
      <c r="D145" s="581" t="inlineStr">
        <is>
          <t>ชุด</t>
        </is>
      </c>
      <c r="E145" s="582" t="n"/>
      <c r="F145" s="582">
        <f>C145*E145</f>
        <v/>
      </c>
      <c r="G145" s="582" t="n"/>
      <c r="H145" s="582">
        <f>C145*G145</f>
        <v/>
      </c>
      <c r="I145" s="582">
        <f>F145+H145</f>
        <v/>
      </c>
      <c r="J145" s="126" t="n"/>
      <c r="K145" s="101" t="n"/>
      <c r="L145" s="577" t="n"/>
      <c r="M145" s="578" t="n"/>
      <c r="N145" s="104" t="n"/>
      <c r="O145" s="104" t="n"/>
      <c r="P145" s="104" t="n"/>
      <c r="Q145" s="101" t="n"/>
      <c r="R145" s="101" t="n"/>
      <c r="S145" s="126" t="n"/>
      <c r="T145" s="126" t="n"/>
      <c r="U145" s="126" t="n"/>
      <c r="V145" s="126" t="n"/>
      <c r="W145" s="126" t="n"/>
      <c r="X145" s="126" t="n"/>
      <c r="Y145" s="126" t="n"/>
      <c r="Z145" s="126" t="n"/>
      <c r="AA145" s="126" t="n"/>
      <c r="AB145" s="126" t="n"/>
      <c r="AC145" s="126" t="n"/>
      <c r="AD145" s="126" t="n"/>
      <c r="AE145" s="126" t="n"/>
      <c r="AF145" s="126" t="n"/>
      <c r="AG145" s="126" t="n"/>
      <c r="AH145" s="126" t="n"/>
      <c r="AI145" s="126" t="n"/>
      <c r="AJ145" s="126" t="n"/>
      <c r="AK145" s="126" t="n"/>
      <c r="AL145" s="126" t="n"/>
      <c r="AM145" s="126" t="n"/>
      <c r="AN145" s="126" t="n"/>
      <c r="AO145" s="126" t="n"/>
      <c r="AP145" s="126" t="n"/>
      <c r="AQ145" s="126" t="n"/>
      <c r="AR145" s="126" t="n"/>
      <c r="AS145" s="126" t="n"/>
      <c r="AT145" s="126" t="n"/>
      <c r="AU145" s="126" t="n"/>
      <c r="AV145" s="126" t="n"/>
      <c r="AW145" s="126" t="n"/>
      <c r="AX145" s="126" t="n"/>
      <c r="AY145" s="126" t="n"/>
      <c r="AZ145" s="126" t="n"/>
      <c r="BA145" s="126" t="n"/>
      <c r="BB145" s="126" t="n"/>
      <c r="BC145" s="126" t="n"/>
      <c r="BD145" s="126" t="n"/>
      <c r="BE145" s="126" t="n"/>
      <c r="BF145" s="126" t="n"/>
      <c r="BG145" s="126" t="n"/>
    </row>
    <row r="146" ht="21.95" customFormat="1" customHeight="1" s="106">
      <c r="A146" s="180" t="n"/>
      <c r="B146" s="583" t="inlineStr">
        <is>
          <t xml:space="preserve"> -  TOP เคาน์เตอร์หินแกรนิตสีดำ ขนาด 0.20 x 1.70 เมตร </t>
        </is>
      </c>
      <c r="C146" s="580" t="n"/>
      <c r="D146" s="581" t="inlineStr">
        <is>
          <t>ชุด</t>
        </is>
      </c>
      <c r="E146" s="582" t="n"/>
      <c r="F146" s="582">
        <f>C146*E146</f>
        <v/>
      </c>
      <c r="G146" s="582" t="n"/>
      <c r="H146" s="582">
        <f>C146*G146</f>
        <v/>
      </c>
      <c r="I146" s="582">
        <f>F146+H146</f>
        <v/>
      </c>
      <c r="J146" s="126" t="n"/>
      <c r="K146" s="101" t="n"/>
      <c r="L146" s="577" t="n"/>
      <c r="M146" s="578" t="n"/>
      <c r="N146" s="104" t="n"/>
      <c r="O146" s="104" t="n"/>
      <c r="P146" s="104" t="n"/>
      <c r="Q146" s="101" t="n"/>
      <c r="R146" s="101" t="n"/>
      <c r="S146" s="126" t="n"/>
      <c r="T146" s="126" t="n"/>
      <c r="U146" s="126" t="n"/>
      <c r="V146" s="126" t="n"/>
      <c r="W146" s="126" t="n"/>
      <c r="X146" s="126" t="n"/>
      <c r="Y146" s="126" t="n"/>
      <c r="Z146" s="126" t="n"/>
      <c r="AA146" s="126" t="n"/>
      <c r="AB146" s="126" t="n"/>
      <c r="AC146" s="126" t="n"/>
      <c r="AD146" s="126" t="n"/>
      <c r="AE146" s="126" t="n"/>
      <c r="AF146" s="126" t="n"/>
      <c r="AG146" s="126" t="n"/>
      <c r="AH146" s="126" t="n"/>
      <c r="AI146" s="126" t="n"/>
      <c r="AJ146" s="126" t="n"/>
      <c r="AK146" s="126" t="n"/>
      <c r="AL146" s="126" t="n"/>
      <c r="AM146" s="126" t="n"/>
      <c r="AN146" s="126" t="n"/>
      <c r="AO146" s="126" t="n"/>
      <c r="AP146" s="126" t="n"/>
      <c r="AQ146" s="126" t="n"/>
      <c r="AR146" s="126" t="n"/>
      <c r="AS146" s="126" t="n"/>
      <c r="AT146" s="126" t="n"/>
      <c r="AU146" s="126" t="n"/>
      <c r="AV146" s="126" t="n"/>
      <c r="AW146" s="126" t="n"/>
      <c r="AX146" s="126" t="n"/>
      <c r="AY146" s="126" t="n"/>
      <c r="AZ146" s="126" t="n"/>
      <c r="BA146" s="126" t="n"/>
      <c r="BB146" s="126" t="n"/>
      <c r="BC146" s="126" t="n"/>
      <c r="BD146" s="126" t="n"/>
      <c r="BE146" s="126" t="n"/>
      <c r="BF146" s="126" t="n"/>
      <c r="BG146" s="126" t="n"/>
    </row>
    <row r="147" ht="21.95" customFormat="1" customHeight="1" s="106">
      <c r="A147" s="180" t="n"/>
      <c r="B147" s="583" t="inlineStr">
        <is>
          <t xml:space="preserve"> -  TOP เคาน์เตอร์หินแกรนิตสีดำ ขนาด 0.20 x 2.20 เมตร </t>
        </is>
      </c>
      <c r="C147" s="580" t="n"/>
      <c r="D147" s="581" t="inlineStr">
        <is>
          <t>ชุด</t>
        </is>
      </c>
      <c r="E147" s="582" t="n"/>
      <c r="F147" s="582">
        <f>C147*E147</f>
        <v/>
      </c>
      <c r="G147" s="582" t="n"/>
      <c r="H147" s="582">
        <f>C147*G147</f>
        <v/>
      </c>
      <c r="I147" s="582">
        <f>F147+H147</f>
        <v/>
      </c>
      <c r="J147" s="126" t="n"/>
      <c r="K147" s="101" t="n"/>
      <c r="L147" s="577" t="n"/>
      <c r="M147" s="578" t="n"/>
      <c r="N147" s="104" t="n"/>
      <c r="O147" s="104" t="n"/>
      <c r="P147" s="104" t="n"/>
      <c r="Q147" s="101" t="n"/>
      <c r="R147" s="101" t="n"/>
      <c r="S147" s="126" t="n"/>
      <c r="T147" s="126" t="n"/>
      <c r="U147" s="126" t="n"/>
      <c r="V147" s="126" t="n"/>
      <c r="W147" s="126" t="n"/>
      <c r="X147" s="126" t="n"/>
      <c r="Y147" s="126" t="n"/>
      <c r="Z147" s="126" t="n"/>
      <c r="AA147" s="126" t="n"/>
      <c r="AB147" s="126" t="n"/>
      <c r="AC147" s="126" t="n"/>
      <c r="AD147" s="126" t="n"/>
      <c r="AE147" s="126" t="n"/>
      <c r="AF147" s="126" t="n"/>
      <c r="AG147" s="126" t="n"/>
      <c r="AH147" s="126" t="n"/>
      <c r="AI147" s="126" t="n"/>
      <c r="AJ147" s="126" t="n"/>
      <c r="AK147" s="126" t="n"/>
      <c r="AL147" s="126" t="n"/>
      <c r="AM147" s="126" t="n"/>
      <c r="AN147" s="126" t="n"/>
      <c r="AO147" s="126" t="n"/>
      <c r="AP147" s="126" t="n"/>
      <c r="AQ147" s="126" t="n"/>
      <c r="AR147" s="126" t="n"/>
      <c r="AS147" s="126" t="n"/>
      <c r="AT147" s="126" t="n"/>
      <c r="AU147" s="126" t="n"/>
      <c r="AV147" s="126" t="n"/>
      <c r="AW147" s="126" t="n"/>
      <c r="AX147" s="126" t="n"/>
      <c r="AY147" s="126" t="n"/>
      <c r="AZ147" s="126" t="n"/>
      <c r="BA147" s="126" t="n"/>
      <c r="BB147" s="126" t="n"/>
      <c r="BC147" s="126" t="n"/>
      <c r="BD147" s="126" t="n"/>
      <c r="BE147" s="126" t="n"/>
      <c r="BF147" s="126" t="n"/>
      <c r="BG147" s="126" t="n"/>
    </row>
    <row r="148" ht="21.95" customFormat="1" customHeight="1" s="106">
      <c r="A148" s="180" t="n"/>
      <c r="B148" s="583" t="inlineStr">
        <is>
          <t xml:space="preserve"> -   เคาน์เตอร์ ค.ส.ล ขนาด 0.60 x 1.00 เมตร </t>
        </is>
      </c>
      <c r="C148" s="580" t="n"/>
      <c r="D148" s="581" t="inlineStr">
        <is>
          <t>ชุด</t>
        </is>
      </c>
      <c r="E148" s="582" t="n"/>
      <c r="F148" s="582">
        <f>C148*E148</f>
        <v/>
      </c>
      <c r="G148" s="582" t="n"/>
      <c r="H148" s="582">
        <f>C148*G148</f>
        <v/>
      </c>
      <c r="I148" s="582">
        <f>F148+H148</f>
        <v/>
      </c>
      <c r="J148" s="126" t="n"/>
      <c r="K148" s="101" t="n"/>
      <c r="L148" s="577" t="n"/>
      <c r="M148" s="578" t="n"/>
      <c r="N148" s="104" t="n"/>
      <c r="O148" s="104" t="n"/>
      <c r="P148" s="104" t="n"/>
      <c r="Q148" s="101" t="n"/>
      <c r="R148" s="101" t="n"/>
      <c r="S148" s="126" t="n"/>
      <c r="T148" s="126" t="n"/>
      <c r="U148" s="126" t="n"/>
      <c r="V148" s="126" t="n"/>
      <c r="W148" s="126" t="n"/>
      <c r="X148" s="126" t="n"/>
      <c r="Y148" s="126" t="n"/>
      <c r="Z148" s="126" t="n"/>
      <c r="AA148" s="126" t="n"/>
      <c r="AB148" s="126" t="n"/>
      <c r="AC148" s="126" t="n"/>
      <c r="AD148" s="126" t="n"/>
      <c r="AE148" s="126" t="n"/>
      <c r="AF148" s="126" t="n"/>
      <c r="AG148" s="126" t="n"/>
      <c r="AH148" s="126" t="n"/>
      <c r="AI148" s="126" t="n"/>
      <c r="AJ148" s="126" t="n"/>
      <c r="AK148" s="126" t="n"/>
      <c r="AL148" s="126" t="n"/>
      <c r="AM148" s="126" t="n"/>
      <c r="AN148" s="126" t="n"/>
      <c r="AO148" s="126" t="n"/>
      <c r="AP148" s="126" t="n"/>
      <c r="AQ148" s="126" t="n"/>
      <c r="AR148" s="126" t="n"/>
      <c r="AS148" s="126" t="n"/>
      <c r="AT148" s="126" t="n"/>
      <c r="AU148" s="126" t="n"/>
      <c r="AV148" s="126" t="n"/>
      <c r="AW148" s="126" t="n"/>
      <c r="AX148" s="126" t="n"/>
      <c r="AY148" s="126" t="n"/>
      <c r="AZ148" s="126" t="n"/>
      <c r="BA148" s="126" t="n"/>
      <c r="BB148" s="126" t="n"/>
      <c r="BC148" s="126" t="n"/>
      <c r="BD148" s="126" t="n"/>
      <c r="BE148" s="126" t="n"/>
      <c r="BF148" s="126" t="n"/>
      <c r="BG148" s="126" t="n"/>
    </row>
    <row r="149" ht="21.95" customFormat="1" customHeight="1" s="106">
      <c r="A149" s="180" t="n"/>
      <c r="B149" s="583" t="inlineStr">
        <is>
          <t xml:space="preserve"> -   เคาน์เตอร์ ค.ส.ล ขนาด 0.60 x 1.70 เมตร </t>
        </is>
      </c>
      <c r="C149" s="580" t="n"/>
      <c r="D149" s="581" t="inlineStr">
        <is>
          <t>ชุด</t>
        </is>
      </c>
      <c r="E149" s="582" t="n"/>
      <c r="F149" s="582">
        <f>C149*E149</f>
        <v/>
      </c>
      <c r="G149" s="582" t="n"/>
      <c r="H149" s="582">
        <f>C149*G149</f>
        <v/>
      </c>
      <c r="I149" s="582">
        <f>F149+H149</f>
        <v/>
      </c>
      <c r="J149" s="126" t="n"/>
      <c r="K149" s="101" t="n"/>
      <c r="L149" s="577" t="n"/>
      <c r="M149" s="578" t="n"/>
      <c r="N149" s="104" t="n"/>
      <c r="O149" s="104" t="n"/>
      <c r="P149" s="104" t="n"/>
      <c r="Q149" s="101" t="n"/>
      <c r="R149" s="101" t="n"/>
      <c r="S149" s="126" t="n"/>
      <c r="T149" s="126" t="n"/>
      <c r="U149" s="126" t="n"/>
      <c r="V149" s="126" t="n"/>
      <c r="W149" s="126" t="n"/>
      <c r="X149" s="126" t="n"/>
      <c r="Y149" s="126" t="n"/>
      <c r="Z149" s="126" t="n"/>
      <c r="AA149" s="126" t="n"/>
      <c r="AB149" s="126" t="n"/>
      <c r="AC149" s="126" t="n"/>
      <c r="AD149" s="126" t="n"/>
      <c r="AE149" s="126" t="n"/>
      <c r="AF149" s="126" t="n"/>
      <c r="AG149" s="126" t="n"/>
      <c r="AH149" s="126" t="n"/>
      <c r="AI149" s="126" t="n"/>
      <c r="AJ149" s="126" t="n"/>
      <c r="AK149" s="126" t="n"/>
      <c r="AL149" s="126" t="n"/>
      <c r="AM149" s="126" t="n"/>
      <c r="AN149" s="126" t="n"/>
      <c r="AO149" s="126" t="n"/>
      <c r="AP149" s="126" t="n"/>
      <c r="AQ149" s="126" t="n"/>
      <c r="AR149" s="126" t="n"/>
      <c r="AS149" s="126" t="n"/>
      <c r="AT149" s="126" t="n"/>
      <c r="AU149" s="126" t="n"/>
      <c r="AV149" s="126" t="n"/>
      <c r="AW149" s="126" t="n"/>
      <c r="AX149" s="126" t="n"/>
      <c r="AY149" s="126" t="n"/>
      <c r="AZ149" s="126" t="n"/>
      <c r="BA149" s="126" t="n"/>
      <c r="BB149" s="126" t="n"/>
      <c r="BC149" s="126" t="n"/>
      <c r="BD149" s="126" t="n"/>
      <c r="BE149" s="126" t="n"/>
      <c r="BF149" s="126" t="n"/>
      <c r="BG149" s="126" t="n"/>
    </row>
    <row r="150" ht="21.95" customFormat="1" customHeight="1" s="106">
      <c r="A150" s="180" t="n"/>
      <c r="B150" s="583" t="inlineStr">
        <is>
          <t xml:space="preserve"> -  เคาน์เตอร์ ค.ส.ล ขนาด 0.60 x 3.30 เมตร </t>
        </is>
      </c>
      <c r="C150" s="580" t="n"/>
      <c r="D150" s="581" t="inlineStr">
        <is>
          <t>บาน</t>
        </is>
      </c>
      <c r="E150" s="582" t="n"/>
      <c r="F150" s="582">
        <f>C150*E150</f>
        <v/>
      </c>
      <c r="G150" s="582" t="n"/>
      <c r="H150" s="582">
        <f>C150*G150</f>
        <v/>
      </c>
      <c r="I150" s="582">
        <f>F150+H150</f>
        <v/>
      </c>
      <c r="J150" s="126" t="n"/>
      <c r="K150" s="101" t="n"/>
      <c r="L150" s="577" t="n"/>
      <c r="M150" s="578" t="n"/>
      <c r="N150" s="104" t="n"/>
      <c r="O150" s="104" t="n"/>
      <c r="P150" s="104" t="n"/>
      <c r="Q150" s="101" t="n"/>
      <c r="R150" s="101" t="n"/>
      <c r="S150" s="126" t="n"/>
      <c r="T150" s="126" t="n"/>
      <c r="U150" s="126" t="n"/>
      <c r="V150" s="126" t="n"/>
      <c r="W150" s="126" t="n"/>
      <c r="X150" s="126" t="n"/>
      <c r="Y150" s="126" t="n"/>
      <c r="Z150" s="126" t="n"/>
      <c r="AA150" s="126" t="n"/>
      <c r="AB150" s="126" t="n"/>
      <c r="AC150" s="126" t="n"/>
      <c r="AD150" s="126" t="n"/>
      <c r="AE150" s="126" t="n"/>
      <c r="AF150" s="126" t="n"/>
      <c r="AG150" s="126" t="n"/>
      <c r="AH150" s="126" t="n"/>
      <c r="AI150" s="126" t="n"/>
      <c r="AJ150" s="126" t="n"/>
      <c r="AK150" s="126" t="n"/>
      <c r="AL150" s="126" t="n"/>
      <c r="AM150" s="126" t="n"/>
      <c r="AN150" s="126" t="n"/>
      <c r="AO150" s="126" t="n"/>
      <c r="AP150" s="126" t="n"/>
      <c r="AQ150" s="126" t="n"/>
      <c r="AR150" s="126" t="n"/>
      <c r="AS150" s="126" t="n"/>
      <c r="AT150" s="126" t="n"/>
      <c r="AU150" s="126" t="n"/>
      <c r="AV150" s="126" t="n"/>
      <c r="AW150" s="126" t="n"/>
      <c r="AX150" s="126" t="n"/>
      <c r="AY150" s="126" t="n"/>
      <c r="AZ150" s="126" t="n"/>
      <c r="BA150" s="126" t="n"/>
      <c r="BB150" s="126" t="n"/>
      <c r="BC150" s="126" t="n"/>
      <c r="BD150" s="126" t="n"/>
      <c r="BE150" s="126" t="n"/>
      <c r="BF150" s="126" t="n"/>
      <c r="BG150" s="126" t="n"/>
    </row>
    <row r="151" ht="21.95" customFormat="1" customHeight="1" s="106">
      <c r="A151" s="107" t="n">
        <v>5.2</v>
      </c>
      <c r="B151" s="608" t="inlineStr">
        <is>
          <t>งานน้ำดี - น้ำทิ้ง</t>
        </is>
      </c>
      <c r="C151" s="606" t="n"/>
      <c r="D151" s="629" t="n"/>
      <c r="E151" s="589" t="n"/>
      <c r="F151" s="582">
        <f>C151*E151</f>
        <v/>
      </c>
      <c r="G151" s="589" t="n"/>
      <c r="H151" s="582">
        <f>C151*G151</f>
        <v/>
      </c>
      <c r="I151" s="582">
        <f>F151+H151</f>
        <v/>
      </c>
      <c r="J151" s="100" t="n"/>
      <c r="K151" s="153" t="n"/>
      <c r="L151" s="577" t="n"/>
      <c r="M151" s="578" t="n"/>
      <c r="N151" s="104" t="n"/>
      <c r="O151" s="104" t="n"/>
      <c r="P151" s="104" t="n"/>
      <c r="Q151" s="101" t="n"/>
      <c r="R151" s="101" t="n"/>
      <c r="S151" s="126" t="n"/>
      <c r="T151" s="126" t="n"/>
      <c r="U151" s="126" t="n"/>
      <c r="V151" s="126" t="n"/>
      <c r="W151" s="126" t="n"/>
      <c r="X151" s="126" t="n"/>
      <c r="Y151" s="126" t="n"/>
      <c r="Z151" s="126" t="n"/>
      <c r="AA151" s="126" t="n"/>
      <c r="AB151" s="126" t="n"/>
      <c r="AC151" s="126" t="n"/>
      <c r="AD151" s="126" t="n"/>
      <c r="AE151" s="126" t="n"/>
      <c r="AF151" s="126" t="n"/>
      <c r="AG151" s="126" t="n"/>
      <c r="AH151" s="126" t="n"/>
      <c r="AI151" s="126" t="n"/>
      <c r="AJ151" s="126" t="n"/>
      <c r="AK151" s="126" t="n"/>
      <c r="AL151" s="126" t="n"/>
      <c r="AM151" s="126" t="n"/>
      <c r="AN151" s="126" t="n"/>
      <c r="AO151" s="126" t="n"/>
      <c r="AP151" s="126" t="n"/>
      <c r="AQ151" s="126" t="n"/>
      <c r="AR151" s="126" t="n"/>
      <c r="AS151" s="126" t="n"/>
      <c r="AT151" s="126" t="n"/>
      <c r="AU151" s="126" t="n"/>
      <c r="AV151" s="126" t="n"/>
      <c r="AW151" s="126" t="n"/>
      <c r="AX151" s="126" t="n"/>
      <c r="AY151" s="126" t="n"/>
      <c r="AZ151" s="126" t="n"/>
      <c r="BA151" s="126" t="n"/>
      <c r="BB151" s="126" t="n"/>
      <c r="BC151" s="126" t="n"/>
      <c r="BD151" s="126" t="n"/>
      <c r="BE151" s="126" t="n"/>
      <c r="BF151" s="126" t="n"/>
      <c r="BG151" s="126" t="n"/>
    </row>
    <row r="152" ht="21.95" customFormat="1" customHeight="1" s="106">
      <c r="A152" s="107" t="n"/>
      <c r="B152" s="605" t="inlineStr">
        <is>
          <t xml:space="preserve"> - ระบบน้ำดีชักโครก</t>
        </is>
      </c>
      <c r="C152" s="606" t="n"/>
      <c r="D152" s="629" t="inlineStr">
        <is>
          <t>จุด</t>
        </is>
      </c>
      <c r="E152" s="589" t="n"/>
      <c r="F152" s="582">
        <f>C152*E152</f>
        <v/>
      </c>
      <c r="G152" s="589" t="n"/>
      <c r="H152" s="582">
        <f>C152*G152</f>
        <v/>
      </c>
      <c r="I152" s="582">
        <f>F152+H152</f>
        <v/>
      </c>
      <c r="J152" s="100" t="n"/>
      <c r="K152" s="153" t="n"/>
      <c r="L152" s="577" t="n"/>
      <c r="M152" s="578" t="n"/>
      <c r="N152" s="104" t="n"/>
      <c r="O152" s="104" t="n"/>
      <c r="P152" s="104" t="n"/>
      <c r="Q152" s="101" t="n"/>
      <c r="R152" s="101" t="n"/>
      <c r="S152" s="126" t="n"/>
      <c r="T152" s="126" t="n"/>
      <c r="U152" s="126" t="n"/>
      <c r="V152" s="126" t="n"/>
      <c r="W152" s="126" t="n"/>
      <c r="X152" s="126" t="n"/>
      <c r="Y152" s="126" t="n"/>
      <c r="Z152" s="126" t="n"/>
      <c r="AA152" s="126" t="n"/>
      <c r="AB152" s="126" t="n"/>
      <c r="AC152" s="126" t="n"/>
      <c r="AD152" s="126" t="n"/>
      <c r="AE152" s="126" t="n"/>
      <c r="AF152" s="126" t="n"/>
      <c r="AG152" s="126" t="n"/>
      <c r="AH152" s="126" t="n"/>
      <c r="AI152" s="126" t="n"/>
      <c r="AJ152" s="126" t="n"/>
      <c r="AK152" s="126" t="n"/>
      <c r="AL152" s="126" t="n"/>
      <c r="AM152" s="126" t="n"/>
      <c r="AN152" s="126" t="n"/>
      <c r="AO152" s="126" t="n"/>
      <c r="AP152" s="126" t="n"/>
      <c r="AQ152" s="126" t="n"/>
      <c r="AR152" s="126" t="n"/>
      <c r="AS152" s="126" t="n"/>
      <c r="AT152" s="126" t="n"/>
      <c r="AU152" s="126" t="n"/>
      <c r="AV152" s="126" t="n"/>
      <c r="AW152" s="126" t="n"/>
      <c r="AX152" s="126" t="n"/>
      <c r="AY152" s="126" t="n"/>
      <c r="AZ152" s="126" t="n"/>
      <c r="BA152" s="126" t="n"/>
      <c r="BB152" s="126" t="n"/>
      <c r="BC152" s="126" t="n"/>
      <c r="BD152" s="126" t="n"/>
      <c r="BE152" s="126" t="n"/>
      <c r="BF152" s="126" t="n"/>
      <c r="BG152" s="126" t="n"/>
    </row>
    <row r="153" ht="21.95" customFormat="1" customHeight="1" s="106">
      <c r="A153" s="107" t="n"/>
      <c r="B153" s="605" t="inlineStr">
        <is>
          <t xml:space="preserve"> - ระบบน้ำดีโถปัสสาวะชาย</t>
        </is>
      </c>
      <c r="C153" s="606" t="n"/>
      <c r="D153" s="629" t="inlineStr">
        <is>
          <t>จุด</t>
        </is>
      </c>
      <c r="E153" s="589" t="n"/>
      <c r="F153" s="582">
        <f>C153*E153</f>
        <v/>
      </c>
      <c r="G153" s="589" t="n"/>
      <c r="H153" s="582">
        <f>C153*G153</f>
        <v/>
      </c>
      <c r="I153" s="582">
        <f>F153+H153</f>
        <v/>
      </c>
      <c r="J153" s="100" t="n"/>
      <c r="K153" s="153" t="n"/>
      <c r="L153" s="577" t="n"/>
      <c r="M153" s="578" t="n"/>
      <c r="N153" s="104" t="n"/>
      <c r="O153" s="104" t="n"/>
      <c r="P153" s="104" t="n"/>
      <c r="Q153" s="101" t="n"/>
      <c r="R153" s="101" t="n"/>
      <c r="S153" s="126" t="n"/>
      <c r="T153" s="126" t="n"/>
      <c r="U153" s="126" t="n"/>
      <c r="V153" s="126" t="n"/>
      <c r="W153" s="126" t="n"/>
      <c r="X153" s="126" t="n"/>
      <c r="Y153" s="126" t="n"/>
      <c r="Z153" s="126" t="n"/>
      <c r="AA153" s="126" t="n"/>
      <c r="AB153" s="126" t="n"/>
      <c r="AC153" s="126" t="n"/>
      <c r="AD153" s="126" t="n"/>
      <c r="AE153" s="126" t="n"/>
      <c r="AF153" s="126" t="n"/>
      <c r="AG153" s="126" t="n"/>
      <c r="AH153" s="126" t="n"/>
      <c r="AI153" s="126" t="n"/>
      <c r="AJ153" s="126" t="n"/>
      <c r="AK153" s="126" t="n"/>
      <c r="AL153" s="126" t="n"/>
      <c r="AM153" s="126" t="n"/>
      <c r="AN153" s="126" t="n"/>
      <c r="AO153" s="126" t="n"/>
      <c r="AP153" s="126" t="n"/>
      <c r="AQ153" s="126" t="n"/>
      <c r="AR153" s="126" t="n"/>
      <c r="AS153" s="126" t="n"/>
      <c r="AT153" s="126" t="n"/>
      <c r="AU153" s="126" t="n"/>
      <c r="AV153" s="126" t="n"/>
      <c r="AW153" s="126" t="n"/>
      <c r="AX153" s="126" t="n"/>
      <c r="AY153" s="126" t="n"/>
      <c r="AZ153" s="126" t="n"/>
      <c r="BA153" s="126" t="n"/>
      <c r="BB153" s="126" t="n"/>
      <c r="BC153" s="126" t="n"/>
      <c r="BD153" s="126" t="n"/>
      <c r="BE153" s="126" t="n"/>
      <c r="BF153" s="126" t="n"/>
      <c r="BG153" s="126" t="n"/>
    </row>
    <row r="154" ht="21.95" customFormat="1" customHeight="1" s="106">
      <c r="A154" s="107" t="n"/>
      <c r="B154" s="605" t="inlineStr">
        <is>
          <t xml:space="preserve"> - ระบบน้ำดีสายฉีดชำระ</t>
        </is>
      </c>
      <c r="C154" s="606" t="n"/>
      <c r="D154" s="629" t="inlineStr">
        <is>
          <t>จุด</t>
        </is>
      </c>
      <c r="E154" s="589" t="n"/>
      <c r="F154" s="582">
        <f>C154*E154</f>
        <v/>
      </c>
      <c r="G154" s="589" t="n"/>
      <c r="H154" s="582">
        <f>C154*G154</f>
        <v/>
      </c>
      <c r="I154" s="582">
        <f>F154+H154</f>
        <v/>
      </c>
      <c r="J154" s="100" t="n"/>
      <c r="K154" s="153" t="n"/>
      <c r="L154" s="577" t="n"/>
      <c r="M154" s="578" t="n"/>
      <c r="N154" s="104" t="n"/>
      <c r="O154" s="104" t="n"/>
      <c r="P154" s="104" t="n"/>
      <c r="Q154" s="101" t="n"/>
      <c r="R154" s="101" t="n"/>
      <c r="S154" s="126" t="n"/>
      <c r="T154" s="126" t="n"/>
      <c r="U154" s="126" t="n"/>
      <c r="V154" s="126" t="n"/>
      <c r="W154" s="126" t="n"/>
      <c r="X154" s="126" t="n"/>
      <c r="Y154" s="126" t="n"/>
      <c r="Z154" s="126" t="n"/>
      <c r="AA154" s="126" t="n"/>
      <c r="AB154" s="126" t="n"/>
      <c r="AC154" s="126" t="n"/>
      <c r="AD154" s="126" t="n"/>
      <c r="AE154" s="126" t="n"/>
      <c r="AF154" s="126" t="n"/>
      <c r="AG154" s="126" t="n"/>
      <c r="AH154" s="126" t="n"/>
      <c r="AI154" s="126" t="n"/>
      <c r="AJ154" s="126" t="n"/>
      <c r="AK154" s="126" t="n"/>
      <c r="AL154" s="126" t="n"/>
      <c r="AM154" s="126" t="n"/>
      <c r="AN154" s="126" t="n"/>
      <c r="AO154" s="126" t="n"/>
      <c r="AP154" s="126" t="n"/>
      <c r="AQ154" s="126" t="n"/>
      <c r="AR154" s="126" t="n"/>
      <c r="AS154" s="126" t="n"/>
      <c r="AT154" s="126" t="n"/>
      <c r="AU154" s="126" t="n"/>
      <c r="AV154" s="126" t="n"/>
      <c r="AW154" s="126" t="n"/>
      <c r="AX154" s="126" t="n"/>
      <c r="AY154" s="126" t="n"/>
      <c r="AZ154" s="126" t="n"/>
      <c r="BA154" s="126" t="n"/>
      <c r="BB154" s="126" t="n"/>
      <c r="BC154" s="126" t="n"/>
      <c r="BD154" s="126" t="n"/>
      <c r="BE154" s="126" t="n"/>
      <c r="BF154" s="126" t="n"/>
      <c r="BG154" s="126" t="n"/>
    </row>
    <row r="155" ht="21.95" customFormat="1" customHeight="1" s="106">
      <c r="A155" s="107" t="n"/>
      <c r="B155" s="605" t="inlineStr">
        <is>
          <t xml:space="preserve"> - ระบบน้ำดีอ่างล้างหน้า</t>
        </is>
      </c>
      <c r="C155" s="606" t="n"/>
      <c r="D155" s="629" t="inlineStr">
        <is>
          <t>จุด</t>
        </is>
      </c>
      <c r="E155" s="589" t="n"/>
      <c r="F155" s="582">
        <f>C155*E155</f>
        <v/>
      </c>
      <c r="G155" s="589" t="n"/>
      <c r="H155" s="582">
        <f>C155*G155</f>
        <v/>
      </c>
      <c r="I155" s="582">
        <f>F155+H155</f>
        <v/>
      </c>
      <c r="J155" s="100" t="n"/>
      <c r="K155" s="153" t="n"/>
      <c r="L155" s="577" t="n"/>
      <c r="M155" s="578" t="n"/>
      <c r="N155" s="104" t="n"/>
      <c r="O155" s="104" t="n"/>
      <c r="P155" s="104" t="n"/>
      <c r="Q155" s="101" t="n"/>
      <c r="R155" s="101" t="n"/>
      <c r="S155" s="126" t="n"/>
      <c r="T155" s="126" t="n"/>
      <c r="U155" s="126" t="n"/>
      <c r="V155" s="126" t="n"/>
      <c r="W155" s="126" t="n"/>
      <c r="X155" s="126" t="n"/>
      <c r="Y155" s="126" t="n"/>
      <c r="Z155" s="126" t="n"/>
      <c r="AA155" s="126" t="n"/>
      <c r="AB155" s="126" t="n"/>
      <c r="AC155" s="126" t="n"/>
      <c r="AD155" s="126" t="n"/>
      <c r="AE155" s="126" t="n"/>
      <c r="AF155" s="126" t="n"/>
      <c r="AG155" s="126" t="n"/>
      <c r="AH155" s="126" t="n"/>
      <c r="AI155" s="126" t="n"/>
      <c r="AJ155" s="126" t="n"/>
      <c r="AK155" s="126" t="n"/>
      <c r="AL155" s="126" t="n"/>
      <c r="AM155" s="126" t="n"/>
      <c r="AN155" s="126" t="n"/>
      <c r="AO155" s="126" t="n"/>
      <c r="AP155" s="126" t="n"/>
      <c r="AQ155" s="126" t="n"/>
      <c r="AR155" s="126" t="n"/>
      <c r="AS155" s="126" t="n"/>
      <c r="AT155" s="126" t="n"/>
      <c r="AU155" s="126" t="n"/>
      <c r="AV155" s="126" t="n"/>
      <c r="AW155" s="126" t="n"/>
      <c r="AX155" s="126" t="n"/>
      <c r="AY155" s="126" t="n"/>
      <c r="AZ155" s="126" t="n"/>
      <c r="BA155" s="126" t="n"/>
      <c r="BB155" s="126" t="n"/>
      <c r="BC155" s="126" t="n"/>
      <c r="BD155" s="126" t="n"/>
      <c r="BE155" s="126" t="n"/>
      <c r="BF155" s="126" t="n"/>
      <c r="BG155" s="126" t="n"/>
    </row>
    <row r="156" ht="21.95" customFormat="1" customHeight="1" s="106">
      <c r="A156" s="107" t="n"/>
      <c r="B156" s="605" t="inlineStr">
        <is>
          <t xml:space="preserve"> - ระบบน้ำดีก๊อกออกจากผนัง</t>
        </is>
      </c>
      <c r="C156" s="606" t="n"/>
      <c r="D156" s="629" t="inlineStr">
        <is>
          <t>จุด</t>
        </is>
      </c>
      <c r="E156" s="589" t="n"/>
      <c r="F156" s="582">
        <f>C156*E156</f>
        <v/>
      </c>
      <c r="G156" s="589" t="n"/>
      <c r="H156" s="582">
        <f>C156*G156</f>
        <v/>
      </c>
      <c r="I156" s="582">
        <f>F156+H156</f>
        <v/>
      </c>
      <c r="J156" s="100" t="n"/>
      <c r="K156" s="153" t="n"/>
      <c r="L156" s="577" t="n"/>
      <c r="M156" s="578" t="n"/>
      <c r="N156" s="104" t="n"/>
      <c r="O156" s="104" t="n"/>
      <c r="P156" s="104" t="n"/>
      <c r="Q156" s="101" t="n"/>
      <c r="R156" s="101" t="n"/>
      <c r="S156" s="126" t="n"/>
      <c r="T156" s="126" t="n"/>
      <c r="U156" s="126" t="n"/>
      <c r="V156" s="126" t="n"/>
      <c r="W156" s="126" t="n"/>
      <c r="X156" s="126" t="n"/>
      <c r="Y156" s="126" t="n"/>
      <c r="Z156" s="126" t="n"/>
      <c r="AA156" s="126" t="n"/>
      <c r="AB156" s="126" t="n"/>
      <c r="AC156" s="126" t="n"/>
      <c r="AD156" s="126" t="n"/>
      <c r="AE156" s="126" t="n"/>
      <c r="AF156" s="126" t="n"/>
      <c r="AG156" s="126" t="n"/>
      <c r="AH156" s="126" t="n"/>
      <c r="AI156" s="126" t="n"/>
      <c r="AJ156" s="126" t="n"/>
      <c r="AK156" s="126" t="n"/>
      <c r="AL156" s="126" t="n"/>
      <c r="AM156" s="126" t="n"/>
      <c r="AN156" s="126" t="n"/>
      <c r="AO156" s="126" t="n"/>
      <c r="AP156" s="126" t="n"/>
      <c r="AQ156" s="126" t="n"/>
      <c r="AR156" s="126" t="n"/>
      <c r="AS156" s="126" t="n"/>
      <c r="AT156" s="126" t="n"/>
      <c r="AU156" s="126" t="n"/>
      <c r="AV156" s="126" t="n"/>
      <c r="AW156" s="126" t="n"/>
      <c r="AX156" s="126" t="n"/>
      <c r="AY156" s="126" t="n"/>
      <c r="AZ156" s="126" t="n"/>
      <c r="BA156" s="126" t="n"/>
      <c r="BB156" s="126" t="n"/>
      <c r="BC156" s="126" t="n"/>
      <c r="BD156" s="126" t="n"/>
      <c r="BE156" s="126" t="n"/>
      <c r="BF156" s="126" t="n"/>
      <c r="BG156" s="126" t="n"/>
    </row>
    <row r="157" ht="21.95" customFormat="1" customHeight="1" s="106">
      <c r="A157" s="107" t="n"/>
      <c r="B157" s="605" t="inlineStr">
        <is>
          <t xml:space="preserve"> - ระบบน้ำทิ้งชักโครก</t>
        </is>
      </c>
      <c r="C157" s="606" t="n"/>
      <c r="D157" s="629" t="inlineStr">
        <is>
          <t>จุด</t>
        </is>
      </c>
      <c r="E157" s="589" t="n"/>
      <c r="F157" s="582">
        <f>C157*E157</f>
        <v/>
      </c>
      <c r="G157" s="589" t="n"/>
      <c r="H157" s="582">
        <f>C157*G157</f>
        <v/>
      </c>
      <c r="I157" s="582">
        <f>F157+H157</f>
        <v/>
      </c>
      <c r="J157" s="100" t="n"/>
      <c r="K157" s="153" t="n"/>
      <c r="L157" s="577" t="n"/>
      <c r="M157" s="578" t="n"/>
      <c r="N157" s="104" t="n"/>
      <c r="O157" s="104" t="n"/>
      <c r="P157" s="104" t="n"/>
      <c r="Q157" s="101" t="n"/>
      <c r="R157" s="101" t="n"/>
      <c r="S157" s="126" t="n"/>
      <c r="T157" s="126" t="n"/>
      <c r="U157" s="126" t="n"/>
      <c r="V157" s="126" t="n"/>
      <c r="W157" s="126" t="n"/>
      <c r="X157" s="126" t="n"/>
      <c r="Y157" s="126" t="n"/>
      <c r="Z157" s="126" t="n"/>
      <c r="AA157" s="126" t="n"/>
      <c r="AB157" s="126" t="n"/>
      <c r="AC157" s="126" t="n"/>
      <c r="AD157" s="126" t="n"/>
      <c r="AE157" s="126" t="n"/>
      <c r="AF157" s="126" t="n"/>
      <c r="AG157" s="126" t="n"/>
      <c r="AH157" s="126" t="n"/>
      <c r="AI157" s="126" t="n"/>
      <c r="AJ157" s="126" t="n"/>
      <c r="AK157" s="126" t="n"/>
      <c r="AL157" s="126" t="n"/>
      <c r="AM157" s="126" t="n"/>
      <c r="AN157" s="126" t="n"/>
      <c r="AO157" s="126" t="n"/>
      <c r="AP157" s="126" t="n"/>
      <c r="AQ157" s="126" t="n"/>
      <c r="AR157" s="126" t="n"/>
      <c r="AS157" s="126" t="n"/>
      <c r="AT157" s="126" t="n"/>
      <c r="AU157" s="126" t="n"/>
      <c r="AV157" s="126" t="n"/>
      <c r="AW157" s="126" t="n"/>
      <c r="AX157" s="126" t="n"/>
      <c r="AY157" s="126" t="n"/>
      <c r="AZ157" s="126" t="n"/>
      <c r="BA157" s="126" t="n"/>
      <c r="BB157" s="126" t="n"/>
      <c r="BC157" s="126" t="n"/>
      <c r="BD157" s="126" t="n"/>
      <c r="BE157" s="126" t="n"/>
      <c r="BF157" s="126" t="n"/>
      <c r="BG157" s="126" t="n"/>
    </row>
    <row r="158" ht="21.95" customFormat="1" customHeight="1" s="106">
      <c r="A158" s="107" t="n"/>
      <c r="B158" s="605" t="inlineStr">
        <is>
          <t xml:space="preserve"> - ระบบน้ำทิ้งโถปัสสาวะชาย</t>
        </is>
      </c>
      <c r="C158" s="606" t="n"/>
      <c r="D158" s="629" t="inlineStr">
        <is>
          <t>จุด</t>
        </is>
      </c>
      <c r="E158" s="589" t="n"/>
      <c r="F158" s="582">
        <f>C158*E158</f>
        <v/>
      </c>
      <c r="G158" s="589" t="n"/>
      <c r="H158" s="582">
        <f>C158*G158</f>
        <v/>
      </c>
      <c r="I158" s="582">
        <f>F158+H158</f>
        <v/>
      </c>
      <c r="J158" s="100" t="n"/>
      <c r="K158" s="153" t="n"/>
      <c r="L158" s="577" t="n"/>
      <c r="M158" s="578" t="n"/>
      <c r="N158" s="104" t="n"/>
      <c r="O158" s="104" t="n"/>
      <c r="P158" s="104" t="n"/>
      <c r="Q158" s="101" t="n"/>
      <c r="R158" s="101" t="n"/>
      <c r="S158" s="126" t="n"/>
      <c r="T158" s="126" t="n"/>
      <c r="U158" s="126" t="n"/>
      <c r="V158" s="126" t="n"/>
      <c r="W158" s="126" t="n"/>
      <c r="X158" s="126" t="n"/>
      <c r="Y158" s="126" t="n"/>
      <c r="Z158" s="126" t="n"/>
      <c r="AA158" s="126" t="n"/>
      <c r="AB158" s="126" t="n"/>
      <c r="AC158" s="126" t="n"/>
      <c r="AD158" s="126" t="n"/>
      <c r="AE158" s="126" t="n"/>
      <c r="AF158" s="126" t="n"/>
      <c r="AG158" s="126" t="n"/>
      <c r="AH158" s="126" t="n"/>
      <c r="AI158" s="126" t="n"/>
      <c r="AJ158" s="126" t="n"/>
      <c r="AK158" s="126" t="n"/>
      <c r="AL158" s="126" t="n"/>
      <c r="AM158" s="126" t="n"/>
      <c r="AN158" s="126" t="n"/>
      <c r="AO158" s="126" t="n"/>
      <c r="AP158" s="126" t="n"/>
      <c r="AQ158" s="126" t="n"/>
      <c r="AR158" s="126" t="n"/>
      <c r="AS158" s="126" t="n"/>
      <c r="AT158" s="126" t="n"/>
      <c r="AU158" s="126" t="n"/>
      <c r="AV158" s="126" t="n"/>
      <c r="AW158" s="126" t="n"/>
      <c r="AX158" s="126" t="n"/>
      <c r="AY158" s="126" t="n"/>
      <c r="AZ158" s="126" t="n"/>
      <c r="BA158" s="126" t="n"/>
      <c r="BB158" s="126" t="n"/>
      <c r="BC158" s="126" t="n"/>
      <c r="BD158" s="126" t="n"/>
      <c r="BE158" s="126" t="n"/>
      <c r="BF158" s="126" t="n"/>
      <c r="BG158" s="126" t="n"/>
    </row>
    <row r="159" ht="21.95" customFormat="1" customHeight="1" s="106">
      <c r="A159" s="107" t="n"/>
      <c r="B159" s="605" t="inlineStr">
        <is>
          <t xml:space="preserve"> - ระบบน้ำทิ้งอ่างล้างมือ</t>
        </is>
      </c>
      <c r="C159" s="606" t="n"/>
      <c r="D159" s="629" t="inlineStr">
        <is>
          <t>จุด</t>
        </is>
      </c>
      <c r="E159" s="589" t="n"/>
      <c r="F159" s="582">
        <f>C159*E159</f>
        <v/>
      </c>
      <c r="G159" s="589" t="n"/>
      <c r="H159" s="582">
        <f>C159*G159</f>
        <v/>
      </c>
      <c r="I159" s="582">
        <f>F159+H159</f>
        <v/>
      </c>
      <c r="J159" s="100" t="n"/>
      <c r="K159" s="153" t="n"/>
      <c r="L159" s="577" t="n"/>
      <c r="M159" s="578" t="n"/>
      <c r="N159" s="104" t="n"/>
      <c r="O159" s="104" t="n"/>
      <c r="P159" s="104" t="n"/>
      <c r="Q159" s="101" t="n"/>
      <c r="R159" s="101" t="n"/>
      <c r="S159" s="126" t="n"/>
      <c r="T159" s="126" t="n"/>
      <c r="U159" s="126" t="n"/>
      <c r="V159" s="126" t="n"/>
      <c r="W159" s="126" t="n"/>
      <c r="X159" s="126" t="n"/>
      <c r="Y159" s="126" t="n"/>
      <c r="Z159" s="126" t="n"/>
      <c r="AA159" s="126" t="n"/>
      <c r="AB159" s="126" t="n"/>
      <c r="AC159" s="126" t="n"/>
      <c r="AD159" s="126" t="n"/>
      <c r="AE159" s="126" t="n"/>
      <c r="AF159" s="126" t="n"/>
      <c r="AG159" s="126" t="n"/>
      <c r="AH159" s="126" t="n"/>
      <c r="AI159" s="126" t="n"/>
      <c r="AJ159" s="126" t="n"/>
      <c r="AK159" s="126" t="n"/>
      <c r="AL159" s="126" t="n"/>
      <c r="AM159" s="126" t="n"/>
      <c r="AN159" s="126" t="n"/>
      <c r="AO159" s="126" t="n"/>
      <c r="AP159" s="126" t="n"/>
      <c r="AQ159" s="126" t="n"/>
      <c r="AR159" s="126" t="n"/>
      <c r="AS159" s="126" t="n"/>
      <c r="AT159" s="126" t="n"/>
      <c r="AU159" s="126" t="n"/>
      <c r="AV159" s="126" t="n"/>
      <c r="AW159" s="126" t="n"/>
      <c r="AX159" s="126" t="n"/>
      <c r="AY159" s="126" t="n"/>
      <c r="AZ159" s="126" t="n"/>
      <c r="BA159" s="126" t="n"/>
      <c r="BB159" s="126" t="n"/>
      <c r="BC159" s="126" t="n"/>
      <c r="BD159" s="126" t="n"/>
      <c r="BE159" s="126" t="n"/>
      <c r="BF159" s="126" t="n"/>
      <c r="BG159" s="126" t="n"/>
    </row>
    <row r="160" ht="21.95" customFormat="1" customHeight="1" s="106">
      <c r="A160" s="107" t="n"/>
      <c r="B160" s="605" t="inlineStr">
        <is>
          <t xml:space="preserve"> - ระบบน้ำทิ้งพื้น</t>
        </is>
      </c>
      <c r="C160" s="606" t="n"/>
      <c r="D160" s="629" t="inlineStr">
        <is>
          <t>จุด</t>
        </is>
      </c>
      <c r="E160" s="589" t="n"/>
      <c r="F160" s="582">
        <f>C160*E160</f>
        <v/>
      </c>
      <c r="G160" s="589" t="n"/>
      <c r="H160" s="582">
        <f>C160*G160</f>
        <v/>
      </c>
      <c r="I160" s="582">
        <f>F160+H160</f>
        <v/>
      </c>
      <c r="J160" s="100" t="n"/>
      <c r="K160" s="153" t="n"/>
      <c r="L160" s="577" t="n"/>
      <c r="M160" s="578" t="n"/>
      <c r="N160" s="104" t="n"/>
      <c r="O160" s="104" t="n"/>
      <c r="P160" s="104" t="n"/>
      <c r="Q160" s="101" t="n"/>
      <c r="R160" s="101" t="n"/>
      <c r="S160" s="126" t="n"/>
      <c r="T160" s="126" t="n"/>
      <c r="U160" s="126" t="n"/>
      <c r="V160" s="126" t="n"/>
      <c r="W160" s="126" t="n"/>
      <c r="X160" s="126" t="n"/>
      <c r="Y160" s="126" t="n"/>
      <c r="Z160" s="126" t="n"/>
      <c r="AA160" s="126" t="n"/>
      <c r="AB160" s="126" t="n"/>
      <c r="AC160" s="126" t="n"/>
      <c r="AD160" s="126" t="n"/>
      <c r="AE160" s="126" t="n"/>
      <c r="AF160" s="126" t="n"/>
      <c r="AG160" s="126" t="n"/>
      <c r="AH160" s="126" t="n"/>
      <c r="AI160" s="126" t="n"/>
      <c r="AJ160" s="126" t="n"/>
      <c r="AK160" s="126" t="n"/>
      <c r="AL160" s="126" t="n"/>
      <c r="AM160" s="126" t="n"/>
      <c r="AN160" s="126" t="n"/>
      <c r="AO160" s="126" t="n"/>
      <c r="AP160" s="126" t="n"/>
      <c r="AQ160" s="126" t="n"/>
      <c r="AR160" s="126" t="n"/>
      <c r="AS160" s="126" t="n"/>
      <c r="AT160" s="126" t="n"/>
      <c r="AU160" s="126" t="n"/>
      <c r="AV160" s="126" t="n"/>
      <c r="AW160" s="126" t="n"/>
      <c r="AX160" s="126" t="n"/>
      <c r="AY160" s="126" t="n"/>
      <c r="AZ160" s="126" t="n"/>
      <c r="BA160" s="126" t="n"/>
      <c r="BB160" s="126" t="n"/>
      <c r="BC160" s="126" t="n"/>
      <c r="BD160" s="126" t="n"/>
      <c r="BE160" s="126" t="n"/>
      <c r="BF160" s="126" t="n"/>
      <c r="BG160" s="126" t="n"/>
    </row>
    <row r="161" ht="21.95" customFormat="1" customHeight="1" s="106">
      <c r="A161" s="107" t="n">
        <v>5.3</v>
      </c>
      <c r="B161" s="608" t="inlineStr">
        <is>
          <t>งานระบายอากาศ</t>
        </is>
      </c>
      <c r="C161" s="606" t="n"/>
      <c r="D161" s="629" t="n"/>
      <c r="E161" s="589" t="n"/>
      <c r="F161" s="582">
        <f>C161*E161</f>
        <v/>
      </c>
      <c r="G161" s="589" t="n"/>
      <c r="H161" s="582">
        <f>C161*G161</f>
        <v/>
      </c>
      <c r="I161" s="582">
        <f>F161+H161</f>
        <v/>
      </c>
      <c r="J161" s="100" t="n"/>
      <c r="K161" s="153" t="n"/>
      <c r="L161" s="577" t="n"/>
      <c r="M161" s="578" t="n"/>
      <c r="N161" s="104" t="n"/>
      <c r="O161" s="104" t="n"/>
      <c r="P161" s="104" t="n"/>
      <c r="Q161" s="101" t="n"/>
      <c r="R161" s="101" t="n"/>
      <c r="S161" s="126" t="n"/>
      <c r="T161" s="126" t="n"/>
      <c r="U161" s="126" t="n"/>
      <c r="V161" s="126" t="n"/>
      <c r="W161" s="126" t="n"/>
      <c r="X161" s="126" t="n"/>
      <c r="Y161" s="126" t="n"/>
      <c r="Z161" s="126" t="n"/>
      <c r="AA161" s="126" t="n"/>
      <c r="AB161" s="126" t="n"/>
      <c r="AC161" s="126" t="n"/>
      <c r="AD161" s="126" t="n"/>
      <c r="AE161" s="126" t="n"/>
      <c r="AF161" s="126" t="n"/>
      <c r="AG161" s="126" t="n"/>
      <c r="AH161" s="126" t="n"/>
      <c r="AI161" s="126" t="n"/>
      <c r="AJ161" s="126" t="n"/>
      <c r="AK161" s="126" t="n"/>
      <c r="AL161" s="126" t="n"/>
      <c r="AM161" s="126" t="n"/>
      <c r="AN161" s="126" t="n"/>
      <c r="AO161" s="126" t="n"/>
      <c r="AP161" s="126" t="n"/>
      <c r="AQ161" s="126" t="n"/>
      <c r="AR161" s="126" t="n"/>
      <c r="AS161" s="126" t="n"/>
      <c r="AT161" s="126" t="n"/>
      <c r="AU161" s="126" t="n"/>
      <c r="AV161" s="126" t="n"/>
      <c r="AW161" s="126" t="n"/>
      <c r="AX161" s="126" t="n"/>
      <c r="AY161" s="126" t="n"/>
      <c r="AZ161" s="126" t="n"/>
      <c r="BA161" s="126" t="n"/>
      <c r="BB161" s="126" t="n"/>
      <c r="BC161" s="126" t="n"/>
      <c r="BD161" s="126" t="n"/>
      <c r="BE161" s="126" t="n"/>
      <c r="BF161" s="126" t="n"/>
      <c r="BG161" s="126" t="n"/>
    </row>
    <row r="162" ht="21.95" customFormat="1" customHeight="1" s="106">
      <c r="A162" s="107" t="n"/>
      <c r="B162" s="605" t="inlineStr">
        <is>
          <t xml:space="preserve"> - ท่อระบายอากาศ</t>
        </is>
      </c>
      <c r="C162" s="606" t="n"/>
      <c r="D162" s="629" t="inlineStr">
        <is>
          <t>จุด</t>
        </is>
      </c>
      <c r="E162" s="589" t="n"/>
      <c r="F162" s="582">
        <f>C162*E162</f>
        <v/>
      </c>
      <c r="G162" s="589" t="n"/>
      <c r="H162" s="582">
        <f>C162*G162</f>
        <v/>
      </c>
      <c r="I162" s="582">
        <f>F162+H162</f>
        <v/>
      </c>
      <c r="J162" s="100" t="n"/>
      <c r="K162" s="153" t="n"/>
      <c r="L162" s="577" t="n"/>
      <c r="M162" s="578" t="n"/>
      <c r="N162" s="104" t="n"/>
      <c r="O162" s="104" t="n"/>
      <c r="P162" s="104" t="n"/>
      <c r="Q162" s="101" t="n"/>
      <c r="R162" s="101" t="n"/>
      <c r="S162" s="126" t="n"/>
      <c r="T162" s="126" t="n"/>
      <c r="U162" s="126" t="n"/>
      <c r="V162" s="126" t="n"/>
      <c r="W162" s="126" t="n"/>
      <c r="X162" s="126" t="n"/>
      <c r="Y162" s="126" t="n"/>
      <c r="Z162" s="126" t="n"/>
      <c r="AA162" s="126" t="n"/>
      <c r="AB162" s="126" t="n"/>
      <c r="AC162" s="126" t="n"/>
      <c r="AD162" s="126" t="n"/>
      <c r="AE162" s="126" t="n"/>
      <c r="AF162" s="126" t="n"/>
      <c r="AG162" s="126" t="n"/>
      <c r="AH162" s="126" t="n"/>
      <c r="AI162" s="126" t="n"/>
      <c r="AJ162" s="126" t="n"/>
      <c r="AK162" s="126" t="n"/>
      <c r="AL162" s="126" t="n"/>
      <c r="AM162" s="126" t="n"/>
      <c r="AN162" s="126" t="n"/>
      <c r="AO162" s="126" t="n"/>
      <c r="AP162" s="126" t="n"/>
      <c r="AQ162" s="126" t="n"/>
      <c r="AR162" s="126" t="n"/>
      <c r="AS162" s="126" t="n"/>
      <c r="AT162" s="126" t="n"/>
      <c r="AU162" s="126" t="n"/>
      <c r="AV162" s="126" t="n"/>
      <c r="AW162" s="126" t="n"/>
      <c r="AX162" s="126" t="n"/>
      <c r="AY162" s="126" t="n"/>
      <c r="AZ162" s="126" t="n"/>
      <c r="BA162" s="126" t="n"/>
      <c r="BB162" s="126" t="n"/>
      <c r="BC162" s="126" t="n"/>
      <c r="BD162" s="126" t="n"/>
      <c r="BE162" s="126" t="n"/>
      <c r="BF162" s="126" t="n"/>
      <c r="BG162" s="126" t="n"/>
    </row>
    <row r="163" ht="21.95" customFormat="1" customHeight="1" s="106">
      <c r="A163" s="107" t="n">
        <v>5.4</v>
      </c>
      <c r="B163" s="608" t="inlineStr">
        <is>
          <t>งานระบบถังบำบัด และ ถังเก็บน้ำ</t>
        </is>
      </c>
      <c r="C163" s="606" t="n"/>
      <c r="D163" s="629" t="n"/>
      <c r="E163" s="589" t="n"/>
      <c r="F163" s="582">
        <f>C163*E163</f>
        <v/>
      </c>
      <c r="G163" s="589" t="n"/>
      <c r="H163" s="582">
        <f>C163*G163</f>
        <v/>
      </c>
      <c r="I163" s="582">
        <f>F163+H163</f>
        <v/>
      </c>
      <c r="J163" s="100" t="n"/>
      <c r="K163" s="153" t="n"/>
      <c r="L163" s="577" t="n"/>
      <c r="M163" s="578" t="n"/>
      <c r="N163" s="104" t="n"/>
      <c r="O163" s="104" t="n"/>
      <c r="P163" s="104" t="n"/>
      <c r="Q163" s="101" t="n"/>
      <c r="R163" s="101" t="n"/>
      <c r="S163" s="126" t="n"/>
      <c r="T163" s="126" t="n"/>
      <c r="U163" s="126" t="n"/>
      <c r="V163" s="126" t="n"/>
      <c r="W163" s="126" t="n"/>
      <c r="X163" s="126" t="n"/>
      <c r="Y163" s="126" t="n"/>
      <c r="Z163" s="126" t="n"/>
      <c r="AA163" s="126" t="n"/>
      <c r="AB163" s="126" t="n"/>
      <c r="AC163" s="126" t="n"/>
      <c r="AD163" s="126" t="n"/>
      <c r="AE163" s="126" t="n"/>
      <c r="AF163" s="126" t="n"/>
      <c r="AG163" s="126" t="n"/>
      <c r="AH163" s="126" t="n"/>
      <c r="AI163" s="126" t="n"/>
      <c r="AJ163" s="126" t="n"/>
      <c r="AK163" s="126" t="n"/>
      <c r="AL163" s="126" t="n"/>
      <c r="AM163" s="126" t="n"/>
      <c r="AN163" s="126" t="n"/>
      <c r="AO163" s="126" t="n"/>
      <c r="AP163" s="126" t="n"/>
      <c r="AQ163" s="126" t="n"/>
      <c r="AR163" s="126" t="n"/>
      <c r="AS163" s="126" t="n"/>
      <c r="AT163" s="126" t="n"/>
      <c r="AU163" s="126" t="n"/>
      <c r="AV163" s="126" t="n"/>
      <c r="AW163" s="126" t="n"/>
      <c r="AX163" s="126" t="n"/>
      <c r="AY163" s="126" t="n"/>
      <c r="AZ163" s="126" t="n"/>
      <c r="BA163" s="126" t="n"/>
      <c r="BB163" s="126" t="n"/>
      <c r="BC163" s="126" t="n"/>
      <c r="BD163" s="126" t="n"/>
      <c r="BE163" s="126" t="n"/>
      <c r="BF163" s="126" t="n"/>
      <c r="BG163" s="126" t="n"/>
    </row>
    <row r="164" ht="21.95" customFormat="1" customHeight="1" s="106">
      <c r="A164" s="107" t="n"/>
      <c r="B164" s="605" t="inlineStr">
        <is>
          <t xml:space="preserve"> - ถังบำบัดน้ำเสีย มี ม.อ.ก. ขนาด 6000 ลิตร  DOS SUPER SEPT 6000 ลิตร สีดำ</t>
        </is>
      </c>
      <c r="C164" s="606" t="n"/>
      <c r="D164" s="629" t="inlineStr">
        <is>
          <t>ชุด</t>
        </is>
      </c>
      <c r="E164" s="589" t="n"/>
      <c r="F164" s="582">
        <f>C164*E164</f>
        <v/>
      </c>
      <c r="G164" s="589" t="n"/>
      <c r="H164" s="582">
        <f>C164*G164</f>
        <v/>
      </c>
      <c r="I164" s="582">
        <f>F164+H164</f>
        <v/>
      </c>
      <c r="J164" s="126" t="n"/>
      <c r="K164" s="153" t="n"/>
      <c r="L164" s="577" t="n"/>
      <c r="M164" s="578" t="n"/>
      <c r="N164" s="104" t="n"/>
      <c r="O164" s="104" t="n"/>
      <c r="P164" s="104" t="n"/>
      <c r="Q164" s="101" t="n"/>
      <c r="R164" s="101" t="n"/>
      <c r="S164" s="126" t="n"/>
      <c r="T164" s="126" t="n"/>
      <c r="U164" s="126" t="n"/>
      <c r="V164" s="126" t="n"/>
      <c r="W164" s="126" t="n"/>
      <c r="X164" s="126" t="n"/>
      <c r="Y164" s="126" t="n"/>
      <c r="Z164" s="126" t="n"/>
      <c r="AA164" s="126" t="n"/>
      <c r="AB164" s="126" t="n"/>
      <c r="AC164" s="126" t="n"/>
      <c r="AD164" s="126" t="n"/>
      <c r="AE164" s="126" t="n"/>
      <c r="AF164" s="126" t="n"/>
      <c r="AG164" s="126" t="n"/>
      <c r="AH164" s="126" t="n"/>
      <c r="AI164" s="126" t="n"/>
      <c r="AJ164" s="126" t="n"/>
      <c r="AK164" s="126" t="n"/>
      <c r="AL164" s="126" t="n"/>
      <c r="AM164" s="126" t="n"/>
      <c r="AN164" s="126" t="n"/>
      <c r="AO164" s="126" t="n"/>
      <c r="AP164" s="126" t="n"/>
      <c r="AQ164" s="126" t="n"/>
      <c r="AR164" s="126" t="n"/>
      <c r="AS164" s="126" t="n"/>
      <c r="AT164" s="126" t="n"/>
      <c r="AU164" s="126" t="n"/>
      <c r="AV164" s="126" t="n"/>
      <c r="AW164" s="126" t="n"/>
      <c r="AX164" s="126" t="n"/>
      <c r="AY164" s="126" t="n"/>
      <c r="AZ164" s="126" t="n"/>
      <c r="BA164" s="126" t="n"/>
      <c r="BB164" s="126" t="n"/>
      <c r="BC164" s="126" t="n"/>
      <c r="BD164" s="126" t="n"/>
      <c r="BE164" s="126" t="n"/>
      <c r="BF164" s="126" t="n"/>
      <c r="BG164" s="126" t="n"/>
    </row>
    <row r="165" ht="21.95" customFormat="1" customHeight="1" s="106">
      <c r="A165" s="107" t="n"/>
      <c r="B165" s="605" t="inlineStr">
        <is>
          <t xml:space="preserve"> - บ่อซึม คสล.กลมสำเร็จรูป  0.45 x 1.00 ม.( 4 ใบพร้อมฝาปิด/ชุด )</t>
        </is>
      </c>
      <c r="C165" s="606" t="n"/>
      <c r="D165" s="629" t="inlineStr">
        <is>
          <t>ชุด</t>
        </is>
      </c>
      <c r="E165" s="589" t="n"/>
      <c r="F165" s="582">
        <f>C165*E165</f>
        <v/>
      </c>
      <c r="G165" s="589" t="n"/>
      <c r="H165" s="582">
        <f>C165*G165</f>
        <v/>
      </c>
      <c r="I165" s="582">
        <f>F165+H165</f>
        <v/>
      </c>
      <c r="J165" s="100" t="n"/>
      <c r="K165" s="153" t="n"/>
      <c r="L165" s="577" t="n"/>
      <c r="M165" s="578" t="n"/>
      <c r="N165" s="104" t="n"/>
      <c r="O165" s="104" t="n"/>
      <c r="P165" s="104" t="n"/>
      <c r="Q165" s="101" t="n"/>
      <c r="R165" s="101" t="n"/>
      <c r="S165" s="126" t="n"/>
      <c r="T165" s="126" t="n"/>
      <c r="U165" s="126" t="n"/>
      <c r="V165" s="126" t="n"/>
      <c r="W165" s="126" t="n"/>
      <c r="X165" s="126" t="n"/>
      <c r="Y165" s="126" t="n"/>
      <c r="Z165" s="126" t="n"/>
      <c r="AA165" s="126" t="n"/>
      <c r="AB165" s="126" t="n"/>
      <c r="AC165" s="126" t="n"/>
      <c r="AD165" s="126" t="n"/>
      <c r="AE165" s="126" t="n"/>
      <c r="AF165" s="126" t="n"/>
      <c r="AG165" s="126" t="n"/>
      <c r="AH165" s="126" t="n"/>
      <c r="AI165" s="126" t="n"/>
      <c r="AJ165" s="126" t="n"/>
      <c r="AK165" s="126" t="n"/>
      <c r="AL165" s="126" t="n"/>
      <c r="AM165" s="126" t="n"/>
      <c r="AN165" s="126" t="n"/>
      <c r="AO165" s="126" t="n"/>
      <c r="AP165" s="126" t="n"/>
      <c r="AQ165" s="126" t="n"/>
      <c r="AR165" s="126" t="n"/>
      <c r="AS165" s="126" t="n"/>
      <c r="AT165" s="126" t="n"/>
      <c r="AU165" s="126" t="n"/>
      <c r="AV165" s="126" t="n"/>
      <c r="AW165" s="126" t="n"/>
      <c r="AX165" s="126" t="n"/>
      <c r="AY165" s="126" t="n"/>
      <c r="AZ165" s="126" t="n"/>
      <c r="BA165" s="126" t="n"/>
      <c r="BB165" s="126" t="n"/>
      <c r="BC165" s="126" t="n"/>
      <c r="BD165" s="126" t="n"/>
      <c r="BE165" s="126" t="n"/>
      <c r="BF165" s="126" t="n"/>
      <c r="BG165" s="126" t="n"/>
    </row>
    <row r="166" ht="21.95" customFormat="1" customHeight="1" s="106">
      <c r="A166" s="107" t="n"/>
      <c r="B166" s="605" t="inlineStr">
        <is>
          <t xml:space="preserve"> - บ่อดักกลิ่นคสล. สำเร็จรูปขนาด 0.60 x 0.60 x 0.60 ม. </t>
        </is>
      </c>
      <c r="C166" s="606" t="n"/>
      <c r="D166" s="629" t="inlineStr">
        <is>
          <t>ชุด</t>
        </is>
      </c>
      <c r="E166" s="589" t="n"/>
      <c r="F166" s="582">
        <f>C166*E166</f>
        <v/>
      </c>
      <c r="G166" s="589" t="n"/>
      <c r="H166" s="582">
        <f>C166*G166</f>
        <v/>
      </c>
      <c r="I166" s="582">
        <f>F166+H166</f>
        <v/>
      </c>
      <c r="J166" s="126" t="n"/>
      <c r="K166" s="153" t="n"/>
      <c r="L166" s="577" t="n"/>
      <c r="M166" s="578" t="n"/>
      <c r="N166" s="104" t="n"/>
      <c r="O166" s="104" t="n"/>
      <c r="P166" s="104" t="n"/>
      <c r="Q166" s="101" t="n"/>
      <c r="R166" s="101" t="n"/>
      <c r="S166" s="126" t="n"/>
      <c r="T166" s="126" t="n"/>
      <c r="U166" s="126" t="n"/>
      <c r="V166" s="126" t="n"/>
      <c r="W166" s="126" t="n"/>
      <c r="X166" s="126" t="n"/>
      <c r="Y166" s="126" t="n"/>
      <c r="Z166" s="126" t="n"/>
      <c r="AA166" s="126" t="n"/>
      <c r="AB166" s="126" t="n"/>
      <c r="AC166" s="126" t="n"/>
      <c r="AD166" s="126" t="n"/>
      <c r="AE166" s="126" t="n"/>
      <c r="AF166" s="126" t="n"/>
      <c r="AG166" s="126" t="n"/>
      <c r="AH166" s="126" t="n"/>
      <c r="AI166" s="126" t="n"/>
      <c r="AJ166" s="126" t="n"/>
      <c r="AK166" s="126" t="n"/>
      <c r="AL166" s="126" t="n"/>
      <c r="AM166" s="126" t="n"/>
      <c r="AN166" s="126" t="n"/>
      <c r="AO166" s="126" t="n"/>
      <c r="AP166" s="126" t="n"/>
      <c r="AQ166" s="126" t="n"/>
      <c r="AR166" s="126" t="n"/>
      <c r="AS166" s="126" t="n"/>
      <c r="AT166" s="126" t="n"/>
      <c r="AU166" s="126" t="n"/>
      <c r="AV166" s="126" t="n"/>
      <c r="AW166" s="126" t="n"/>
      <c r="AX166" s="126" t="n"/>
      <c r="AY166" s="126" t="n"/>
      <c r="AZ166" s="126" t="n"/>
      <c r="BA166" s="126" t="n"/>
      <c r="BB166" s="126" t="n"/>
      <c r="BC166" s="126" t="n"/>
      <c r="BD166" s="126" t="n"/>
      <c r="BE166" s="126" t="n"/>
      <c r="BF166" s="126" t="n"/>
      <c r="BG166" s="126" t="n"/>
    </row>
    <row r="167" ht="21.95" customFormat="1" customHeight="1" s="106">
      <c r="A167" s="107" t="n"/>
      <c r="B167" s="605" t="inlineStr">
        <is>
          <t xml:space="preserve"> - บ่อพักน้ำทิ้งคสล. สำเร็จรูปขนาด 0.60 x 0.60 x 0.60 ม. </t>
        </is>
      </c>
      <c r="C167" s="606" t="n"/>
      <c r="D167" s="629" t="inlineStr">
        <is>
          <t>ชุด</t>
        </is>
      </c>
      <c r="E167" s="589" t="n"/>
      <c r="F167" s="582">
        <f>C167*E167</f>
        <v/>
      </c>
      <c r="G167" s="589" t="n"/>
      <c r="H167" s="582">
        <f>C167*G167</f>
        <v/>
      </c>
      <c r="I167" s="582">
        <f>F167+H167</f>
        <v/>
      </c>
      <c r="J167" s="126" t="n"/>
      <c r="K167" s="153" t="n"/>
      <c r="L167" s="577" t="n"/>
      <c r="M167" s="578" t="n"/>
      <c r="N167" s="104" t="n"/>
      <c r="O167" s="104" t="n"/>
      <c r="P167" s="104" t="n"/>
      <c r="Q167" s="101" t="n"/>
      <c r="R167" s="101" t="n"/>
      <c r="S167" s="126" t="n"/>
      <c r="T167" s="126" t="n"/>
      <c r="U167" s="126" t="n"/>
      <c r="V167" s="126" t="n"/>
      <c r="W167" s="126" t="n"/>
      <c r="X167" s="126" t="n"/>
      <c r="Y167" s="126" t="n"/>
      <c r="Z167" s="126" t="n"/>
      <c r="AA167" s="126" t="n"/>
      <c r="AB167" s="126" t="n"/>
      <c r="AC167" s="126" t="n"/>
      <c r="AD167" s="126" t="n"/>
      <c r="AE167" s="126" t="n"/>
      <c r="AF167" s="126" t="n"/>
      <c r="AG167" s="126" t="n"/>
      <c r="AH167" s="126" t="n"/>
      <c r="AI167" s="126" t="n"/>
      <c r="AJ167" s="126" t="n"/>
      <c r="AK167" s="126" t="n"/>
      <c r="AL167" s="126" t="n"/>
      <c r="AM167" s="126" t="n"/>
      <c r="AN167" s="126" t="n"/>
      <c r="AO167" s="126" t="n"/>
      <c r="AP167" s="126" t="n"/>
      <c r="AQ167" s="126" t="n"/>
      <c r="AR167" s="126" t="n"/>
      <c r="AS167" s="126" t="n"/>
      <c r="AT167" s="126" t="n"/>
      <c r="AU167" s="126" t="n"/>
      <c r="AV167" s="126" t="n"/>
      <c r="AW167" s="126" t="n"/>
      <c r="AX167" s="126" t="n"/>
      <c r="AY167" s="126" t="n"/>
      <c r="AZ167" s="126" t="n"/>
      <c r="BA167" s="126" t="n"/>
      <c r="BB167" s="126" t="n"/>
      <c r="BC167" s="126" t="n"/>
      <c r="BD167" s="126" t="n"/>
      <c r="BE167" s="126" t="n"/>
      <c r="BF167" s="126" t="n"/>
      <c r="BG167" s="126" t="n"/>
    </row>
    <row r="168" ht="21.95" customFormat="1" customHeight="1" s="106">
      <c r="A168" s="107" t="n"/>
      <c r="B168" s="605" t="inlineStr">
        <is>
          <t xml:space="preserve"> - ค่าวัสดุอุปกรณ์ต่อเข้าถังบำบัดน้ำเสียและบ่อดักไขมัน</t>
        </is>
      </c>
      <c r="C168" s="606" t="n"/>
      <c r="D168" s="629" t="inlineStr">
        <is>
          <t>ชุด</t>
        </is>
      </c>
      <c r="E168" s="589" t="n"/>
      <c r="F168" s="582">
        <f>C168*E168</f>
        <v/>
      </c>
      <c r="G168" s="589" t="n"/>
      <c r="H168" s="582">
        <f>C168*G168</f>
        <v/>
      </c>
      <c r="I168" s="582">
        <f>F168+H168</f>
        <v/>
      </c>
      <c r="J168" s="100" t="n"/>
      <c r="K168" s="153" t="n"/>
      <c r="L168" s="577" t="n"/>
      <c r="M168" s="578" t="n"/>
      <c r="N168" s="104" t="n"/>
      <c r="O168" s="104" t="n"/>
      <c r="P168" s="104" t="n"/>
      <c r="Q168" s="101" t="n"/>
      <c r="R168" s="101" t="n"/>
      <c r="S168" s="126" t="n"/>
      <c r="T168" s="126" t="n"/>
      <c r="U168" s="126" t="n"/>
      <c r="V168" s="126" t="n"/>
      <c r="W168" s="126" t="n"/>
      <c r="X168" s="126" t="n"/>
      <c r="Y168" s="126" t="n"/>
      <c r="Z168" s="126" t="n"/>
      <c r="AA168" s="126" t="n"/>
      <c r="AB168" s="126" t="n"/>
      <c r="AC168" s="126" t="n"/>
      <c r="AD168" s="126" t="n"/>
      <c r="AE168" s="126" t="n"/>
      <c r="AF168" s="126" t="n"/>
      <c r="AG168" s="126" t="n"/>
      <c r="AH168" s="126" t="n"/>
      <c r="AI168" s="126" t="n"/>
      <c r="AJ168" s="126" t="n"/>
      <c r="AK168" s="126" t="n"/>
      <c r="AL168" s="126" t="n"/>
      <c r="AM168" s="126" t="n"/>
      <c r="AN168" s="126" t="n"/>
      <c r="AO168" s="126" t="n"/>
      <c r="AP168" s="126" t="n"/>
      <c r="AQ168" s="126" t="n"/>
      <c r="AR168" s="126" t="n"/>
      <c r="AS168" s="126" t="n"/>
      <c r="AT168" s="126" t="n"/>
      <c r="AU168" s="126" t="n"/>
      <c r="AV168" s="126" t="n"/>
      <c r="AW168" s="126" t="n"/>
      <c r="AX168" s="126" t="n"/>
      <c r="AY168" s="126" t="n"/>
      <c r="AZ168" s="126" t="n"/>
      <c r="BA168" s="126" t="n"/>
      <c r="BB168" s="126" t="n"/>
      <c r="BC168" s="126" t="n"/>
      <c r="BD168" s="126" t="n"/>
      <c r="BE168" s="126" t="n"/>
      <c r="BF168" s="126" t="n"/>
      <c r="BG168" s="126" t="n"/>
    </row>
    <row r="169" ht="21.95" customFormat="1" customHeight="1" s="106">
      <c r="A169" s="107" t="n"/>
      <c r="B169" s="605" t="inlineStr">
        <is>
          <t xml:space="preserve"> - งานเดินต่อท่อใยหินขนาด 8"ระบายน้ำทิ้ง</t>
        </is>
      </c>
      <c r="C169" s="606" t="n"/>
      <c r="D169" s="629" t="inlineStr">
        <is>
          <t>ชุด</t>
        </is>
      </c>
      <c r="E169" s="589" t="n"/>
      <c r="F169" s="582">
        <f>C169*E169</f>
        <v/>
      </c>
      <c r="G169" s="589" t="n"/>
      <c r="H169" s="582">
        <f>C169*G169</f>
        <v/>
      </c>
      <c r="I169" s="582">
        <f>F169+H169</f>
        <v/>
      </c>
      <c r="J169" s="100" t="n"/>
      <c r="K169" s="153" t="n"/>
      <c r="L169" s="577" t="n"/>
      <c r="M169" s="578" t="n"/>
      <c r="N169" s="104" t="n"/>
      <c r="O169" s="104" t="n"/>
      <c r="P169" s="104" t="n"/>
      <c r="Q169" s="101" t="n"/>
      <c r="R169" s="101" t="n"/>
      <c r="S169" s="126" t="n"/>
      <c r="T169" s="126" t="n"/>
      <c r="U169" s="126" t="n"/>
      <c r="V169" s="126" t="n"/>
      <c r="W169" s="126" t="n"/>
      <c r="X169" s="126" t="n"/>
      <c r="Y169" s="126" t="n"/>
      <c r="Z169" s="126" t="n"/>
      <c r="AA169" s="126" t="n"/>
      <c r="AB169" s="126" t="n"/>
      <c r="AC169" s="126" t="n"/>
      <c r="AD169" s="126" t="n"/>
      <c r="AE169" s="126" t="n"/>
      <c r="AF169" s="126" t="n"/>
      <c r="AG169" s="126" t="n"/>
      <c r="AH169" s="126" t="n"/>
      <c r="AI169" s="126" t="n"/>
      <c r="AJ169" s="126" t="n"/>
      <c r="AK169" s="126" t="n"/>
      <c r="AL169" s="126" t="n"/>
      <c r="AM169" s="126" t="n"/>
      <c r="AN169" s="126" t="n"/>
      <c r="AO169" s="126" t="n"/>
      <c r="AP169" s="126" t="n"/>
      <c r="AQ169" s="126" t="n"/>
      <c r="AR169" s="126" t="n"/>
      <c r="AS169" s="126" t="n"/>
      <c r="AT169" s="126" t="n"/>
      <c r="AU169" s="126" t="n"/>
      <c r="AV169" s="126" t="n"/>
      <c r="AW169" s="126" t="n"/>
      <c r="AX169" s="126" t="n"/>
      <c r="AY169" s="126" t="n"/>
      <c r="AZ169" s="126" t="n"/>
      <c r="BA169" s="126" t="n"/>
      <c r="BB169" s="126" t="n"/>
      <c r="BC169" s="126" t="n"/>
      <c r="BD169" s="126" t="n"/>
      <c r="BE169" s="126" t="n"/>
      <c r="BF169" s="126" t="n"/>
      <c r="BG169" s="126" t="n"/>
    </row>
    <row r="170" ht="21.95" customFormat="1" customHeight="1" s="106">
      <c r="A170" s="107" t="n"/>
      <c r="B170" s="605" t="inlineStr">
        <is>
          <t xml:space="preserve"> - ถังเก็บน้ำดีไฟเบอร์กลาสขนาด 1500 ลิตร DOS</t>
        </is>
      </c>
      <c r="C170" s="606" t="n"/>
      <c r="D170" s="629" t="inlineStr">
        <is>
          <t>ชุด</t>
        </is>
      </c>
      <c r="E170" s="589" t="n"/>
      <c r="F170" s="582">
        <f>C170*E170</f>
        <v/>
      </c>
      <c r="G170" s="589" t="n"/>
      <c r="H170" s="582">
        <f>C170*G170</f>
        <v/>
      </c>
      <c r="I170" s="582">
        <f>F170+H170</f>
        <v/>
      </c>
      <c r="J170" s="126" t="n"/>
      <c r="K170" s="153" t="n"/>
      <c r="L170" s="577" t="n"/>
      <c r="M170" s="578" t="n"/>
      <c r="N170" s="104" t="n"/>
      <c r="O170" s="104" t="n"/>
      <c r="P170" s="104" t="n"/>
      <c r="Q170" s="101" t="n"/>
      <c r="R170" s="101" t="n"/>
      <c r="S170" s="126" t="n"/>
      <c r="T170" s="126" t="n"/>
      <c r="U170" s="126" t="n"/>
      <c r="V170" s="126" t="n"/>
      <c r="W170" s="126" t="n"/>
      <c r="X170" s="126" t="n"/>
      <c r="Y170" s="126" t="n"/>
      <c r="Z170" s="126" t="n"/>
      <c r="AA170" s="126" t="n"/>
      <c r="AB170" s="126" t="n"/>
      <c r="AC170" s="126" t="n"/>
      <c r="AD170" s="126" t="n"/>
      <c r="AE170" s="126" t="n"/>
      <c r="AF170" s="126" t="n"/>
      <c r="AG170" s="126" t="n"/>
      <c r="AH170" s="126" t="n"/>
      <c r="AI170" s="126" t="n"/>
      <c r="AJ170" s="126" t="n"/>
      <c r="AK170" s="126" t="n"/>
      <c r="AL170" s="126" t="n"/>
      <c r="AM170" s="126" t="n"/>
      <c r="AN170" s="126" t="n"/>
      <c r="AO170" s="126" t="n"/>
      <c r="AP170" s="126" t="n"/>
      <c r="AQ170" s="126" t="n"/>
      <c r="AR170" s="126" t="n"/>
      <c r="AS170" s="126" t="n"/>
      <c r="AT170" s="126" t="n"/>
      <c r="AU170" s="126" t="n"/>
      <c r="AV170" s="126" t="n"/>
      <c r="AW170" s="126" t="n"/>
      <c r="AX170" s="126" t="n"/>
      <c r="AY170" s="126" t="n"/>
      <c r="AZ170" s="126" t="n"/>
      <c r="BA170" s="126" t="n"/>
      <c r="BB170" s="126" t="n"/>
      <c r="BC170" s="126" t="n"/>
      <c r="BD170" s="126" t="n"/>
      <c r="BE170" s="126" t="n"/>
      <c r="BF170" s="126" t="n"/>
      <c r="BG170" s="126" t="n"/>
    </row>
    <row r="171" ht="21.95" customFormat="1" customHeight="1" s="106">
      <c r="A171" s="107" t="n"/>
      <c r="B171" s="605" t="inlineStr">
        <is>
          <t xml:space="preserve"> - ถังเก็บน้ำดีสแตนเลส (ก้นนูนแดง) ADVANCED รุ่น AV650 ขนาด 650 ลิตร </t>
        </is>
      </c>
      <c r="C171" s="606" t="n"/>
      <c r="D171" s="629" t="inlineStr">
        <is>
          <t>ชุด</t>
        </is>
      </c>
      <c r="E171" s="589" t="n"/>
      <c r="F171" s="582">
        <f>C171*E171</f>
        <v/>
      </c>
      <c r="G171" s="589" t="n"/>
      <c r="H171" s="582">
        <f>C171*G171</f>
        <v/>
      </c>
      <c r="I171" s="582">
        <f>F171+H171</f>
        <v/>
      </c>
      <c r="J171" s="126" t="n"/>
      <c r="K171" s="153" t="n"/>
      <c r="L171" s="577" t="n"/>
      <c r="M171" s="578" t="n"/>
      <c r="N171" s="104" t="n"/>
      <c r="O171" s="104" t="n"/>
      <c r="P171" s="104" t="n"/>
      <c r="Q171" s="101" t="n"/>
      <c r="R171" s="101" t="n"/>
      <c r="S171" s="126" t="n"/>
      <c r="T171" s="126" t="n"/>
      <c r="U171" s="126" t="n"/>
      <c r="V171" s="126" t="n"/>
      <c r="W171" s="126" t="n"/>
      <c r="X171" s="126" t="n"/>
      <c r="Y171" s="126" t="n"/>
      <c r="Z171" s="126" t="n"/>
      <c r="AA171" s="126" t="n"/>
      <c r="AB171" s="126" t="n"/>
      <c r="AC171" s="126" t="n"/>
      <c r="AD171" s="126" t="n"/>
      <c r="AE171" s="126" t="n"/>
      <c r="AF171" s="126" t="n"/>
      <c r="AG171" s="126" t="n"/>
      <c r="AH171" s="126" t="n"/>
      <c r="AI171" s="126" t="n"/>
      <c r="AJ171" s="126" t="n"/>
      <c r="AK171" s="126" t="n"/>
      <c r="AL171" s="126" t="n"/>
      <c r="AM171" s="126" t="n"/>
      <c r="AN171" s="126" t="n"/>
      <c r="AO171" s="126" t="n"/>
      <c r="AP171" s="126" t="n"/>
      <c r="AQ171" s="126" t="n"/>
      <c r="AR171" s="126" t="n"/>
      <c r="AS171" s="126" t="n"/>
      <c r="AT171" s="126" t="n"/>
      <c r="AU171" s="126" t="n"/>
      <c r="AV171" s="126" t="n"/>
      <c r="AW171" s="126" t="n"/>
      <c r="AX171" s="126" t="n"/>
      <c r="AY171" s="126" t="n"/>
      <c r="AZ171" s="126" t="n"/>
      <c r="BA171" s="126" t="n"/>
      <c r="BB171" s="126" t="n"/>
      <c r="BC171" s="126" t="n"/>
      <c r="BD171" s="126" t="n"/>
      <c r="BE171" s="126" t="n"/>
      <c r="BF171" s="126" t="n"/>
      <c r="BG171" s="126" t="n"/>
    </row>
    <row r="172" ht="21.95" customFormat="1" customHeight="1" s="106">
      <c r="A172" s="107" t="n"/>
      <c r="B172" s="605" t="inlineStr">
        <is>
          <t xml:space="preserve"> - เครื่องสูบน้ำแบบหอยโข่งชนิดแรงดันสูงขนาด 1.5 แรงม้า MITSUBISHI </t>
        </is>
      </c>
      <c r="C172" s="606" t="n"/>
      <c r="D172" s="629" t="inlineStr">
        <is>
          <t>ชุด</t>
        </is>
      </c>
      <c r="E172" s="589" t="n"/>
      <c r="F172" s="589">
        <f>C172*E172</f>
        <v/>
      </c>
      <c r="G172" s="589" t="n"/>
      <c r="H172" s="589">
        <f>C172*G172</f>
        <v/>
      </c>
      <c r="I172" s="589">
        <f>F172+H172</f>
        <v/>
      </c>
      <c r="J172" s="100" t="n"/>
      <c r="K172" s="153" t="n"/>
      <c r="L172" s="577" t="n"/>
      <c r="M172" s="578" t="n"/>
      <c r="N172" s="104" t="n"/>
      <c r="O172" s="104" t="n"/>
      <c r="P172" s="104" t="n"/>
      <c r="Q172" s="101" t="n"/>
      <c r="R172" s="101" t="n"/>
      <c r="S172" s="126" t="n"/>
      <c r="T172" s="126" t="n"/>
      <c r="U172" s="126" t="n"/>
      <c r="V172" s="126" t="n"/>
      <c r="W172" s="126" t="n"/>
      <c r="X172" s="126" t="n"/>
      <c r="Y172" s="126" t="n"/>
      <c r="Z172" s="126" t="n"/>
      <c r="AA172" s="126" t="n"/>
      <c r="AB172" s="126" t="n"/>
      <c r="AC172" s="126" t="n"/>
      <c r="AD172" s="126" t="n"/>
      <c r="AE172" s="126" t="n"/>
      <c r="AF172" s="126" t="n"/>
      <c r="AG172" s="126" t="n"/>
      <c r="AH172" s="126" t="n"/>
      <c r="AI172" s="126" t="n"/>
      <c r="AJ172" s="126" t="n"/>
      <c r="AK172" s="126" t="n"/>
      <c r="AL172" s="126" t="n"/>
      <c r="AM172" s="126" t="n"/>
      <c r="AN172" s="126" t="n"/>
      <c r="AO172" s="126" t="n"/>
      <c r="AP172" s="126" t="n"/>
      <c r="AQ172" s="126" t="n"/>
      <c r="AR172" s="126" t="n"/>
      <c r="AS172" s="126" t="n"/>
      <c r="AT172" s="126" t="n"/>
      <c r="AU172" s="126" t="n"/>
      <c r="AV172" s="126" t="n"/>
      <c r="AW172" s="126" t="n"/>
      <c r="AX172" s="126" t="n"/>
      <c r="AY172" s="126" t="n"/>
      <c r="AZ172" s="126" t="n"/>
      <c r="BA172" s="126" t="n"/>
      <c r="BB172" s="126" t="n"/>
      <c r="BC172" s="126" t="n"/>
      <c r="BD172" s="126" t="n"/>
      <c r="BE172" s="126" t="n"/>
      <c r="BF172" s="126" t="n"/>
      <c r="BG172" s="126" t="n"/>
    </row>
    <row r="173" ht="21.95" customFormat="1" customHeight="1" s="106">
      <c r="A173" s="107" t="n">
        <v>5.5</v>
      </c>
      <c r="B173" s="605" t="inlineStr">
        <is>
          <t>งานระบบดับเพลิง</t>
        </is>
      </c>
      <c r="C173" s="606" t="n"/>
      <c r="D173" s="629" t="n"/>
      <c r="E173" s="589" t="n"/>
      <c r="F173" s="589">
        <f>C173*E173</f>
        <v/>
      </c>
      <c r="G173" s="589" t="n"/>
      <c r="H173" s="589">
        <f>C173*G173</f>
        <v/>
      </c>
      <c r="I173" s="589">
        <f>F173+H173</f>
        <v/>
      </c>
      <c r="J173" s="100" t="n"/>
      <c r="K173" s="153" t="n"/>
      <c r="L173" s="577" t="n"/>
      <c r="M173" s="578" t="n"/>
      <c r="N173" s="104" t="n"/>
      <c r="O173" s="104" t="n"/>
      <c r="P173" s="104" t="n"/>
      <c r="Q173" s="101" t="n"/>
      <c r="R173" s="101" t="n"/>
      <c r="S173" s="126" t="n"/>
      <c r="T173" s="126" t="n"/>
      <c r="U173" s="126" t="n"/>
      <c r="V173" s="126" t="n"/>
      <c r="W173" s="126" t="n"/>
      <c r="X173" s="126" t="n"/>
      <c r="Y173" s="126" t="n"/>
      <c r="Z173" s="126" t="n"/>
      <c r="AA173" s="126" t="n"/>
      <c r="AB173" s="126" t="n"/>
      <c r="AC173" s="126" t="n"/>
      <c r="AD173" s="126" t="n"/>
      <c r="AE173" s="126" t="n"/>
      <c r="AF173" s="126" t="n"/>
      <c r="AG173" s="126" t="n"/>
      <c r="AH173" s="126" t="n"/>
      <c r="AI173" s="126" t="n"/>
      <c r="AJ173" s="126" t="n"/>
      <c r="AK173" s="126" t="n"/>
      <c r="AL173" s="126" t="n"/>
      <c r="AM173" s="126" t="n"/>
      <c r="AN173" s="126" t="n"/>
      <c r="AO173" s="126" t="n"/>
      <c r="AP173" s="126" t="n"/>
      <c r="AQ173" s="126" t="n"/>
      <c r="AR173" s="126" t="n"/>
      <c r="AS173" s="126" t="n"/>
      <c r="AT173" s="126" t="n"/>
      <c r="AU173" s="126" t="n"/>
      <c r="AV173" s="126" t="n"/>
      <c r="AW173" s="126" t="n"/>
      <c r="AX173" s="126" t="n"/>
      <c r="AY173" s="126" t="n"/>
      <c r="AZ173" s="126" t="n"/>
      <c r="BA173" s="126" t="n"/>
      <c r="BB173" s="126" t="n"/>
      <c r="BC173" s="126" t="n"/>
      <c r="BD173" s="126" t="n"/>
      <c r="BE173" s="126" t="n"/>
      <c r="BF173" s="126" t="n"/>
      <c r="BG173" s="126" t="n"/>
    </row>
    <row r="174" ht="21.95" customFormat="1" customHeight="1" s="106">
      <c r="A174" s="107" t="n"/>
      <c r="B174" s="605" t="inlineStr">
        <is>
          <t xml:space="preserve"> - เครื่องดับเพลิงขนาด 10 ปอนด์</t>
        </is>
      </c>
      <c r="C174" s="606" t="n"/>
      <c r="D174" s="629" t="inlineStr">
        <is>
          <t>ชุด</t>
        </is>
      </c>
      <c r="E174" s="589" t="n"/>
      <c r="F174" s="589">
        <f>C174*E174</f>
        <v/>
      </c>
      <c r="G174" s="589" t="n"/>
      <c r="H174" s="589">
        <f>C174*G174</f>
        <v/>
      </c>
      <c r="I174" s="589">
        <f>F174+H174</f>
        <v/>
      </c>
      <c r="J174" s="100" t="n"/>
      <c r="K174" s="153" t="n"/>
      <c r="L174" s="577" t="n"/>
      <c r="M174" s="578" t="n"/>
      <c r="N174" s="104" t="n"/>
      <c r="O174" s="104" t="n"/>
      <c r="P174" s="104" t="n"/>
      <c r="Q174" s="101" t="n"/>
      <c r="R174" s="101" t="n"/>
      <c r="S174" s="126" t="n"/>
      <c r="T174" s="126" t="n"/>
      <c r="U174" s="126" t="n"/>
      <c r="V174" s="126" t="n"/>
      <c r="W174" s="126" t="n"/>
      <c r="X174" s="126" t="n"/>
      <c r="Y174" s="126" t="n"/>
      <c r="Z174" s="126" t="n"/>
      <c r="AA174" s="126" t="n"/>
      <c r="AB174" s="126" t="n"/>
      <c r="AC174" s="126" t="n"/>
      <c r="AD174" s="126" t="n"/>
      <c r="AE174" s="126" t="n"/>
      <c r="AF174" s="126" t="n"/>
      <c r="AG174" s="126" t="n"/>
      <c r="AH174" s="126" t="n"/>
      <c r="AI174" s="126" t="n"/>
      <c r="AJ174" s="126" t="n"/>
      <c r="AK174" s="126" t="n"/>
      <c r="AL174" s="126" t="n"/>
      <c r="AM174" s="126" t="n"/>
      <c r="AN174" s="126" t="n"/>
      <c r="AO174" s="126" t="n"/>
      <c r="AP174" s="126" t="n"/>
      <c r="AQ174" s="126" t="n"/>
      <c r="AR174" s="126" t="n"/>
      <c r="AS174" s="126" t="n"/>
      <c r="AT174" s="126" t="n"/>
      <c r="AU174" s="126" t="n"/>
      <c r="AV174" s="126" t="n"/>
      <c r="AW174" s="126" t="n"/>
      <c r="AX174" s="126" t="n"/>
      <c r="AY174" s="126" t="n"/>
      <c r="AZ174" s="126" t="n"/>
      <c r="BA174" s="126" t="n"/>
      <c r="BB174" s="126" t="n"/>
      <c r="BC174" s="126" t="n"/>
      <c r="BD174" s="126" t="n"/>
      <c r="BE174" s="126" t="n"/>
      <c r="BF174" s="126" t="n"/>
      <c r="BG174" s="126" t="n"/>
    </row>
    <row r="175" ht="21.95" customFormat="1" customHeight="1" s="106">
      <c r="A175" s="107" t="n"/>
      <c r="B175" s="605" t="n"/>
      <c r="C175" s="606" t="n"/>
      <c r="D175" s="629" t="n"/>
      <c r="E175" s="589" t="n"/>
      <c r="F175" s="589">
        <f>C175*E175</f>
        <v/>
      </c>
      <c r="G175" s="589" t="n"/>
      <c r="H175" s="589">
        <f>C175*G175</f>
        <v/>
      </c>
      <c r="I175" s="589">
        <f>F175+H175</f>
        <v/>
      </c>
      <c r="J175" s="100" t="n"/>
      <c r="K175" s="153" t="n"/>
      <c r="L175" s="577" t="n"/>
      <c r="M175" s="578" t="n"/>
      <c r="N175" s="104" t="n"/>
      <c r="O175" s="104" t="n"/>
      <c r="P175" s="104" t="n"/>
      <c r="Q175" s="101" t="n"/>
      <c r="R175" s="101" t="n"/>
      <c r="S175" s="126" t="n"/>
      <c r="T175" s="126" t="n"/>
      <c r="U175" s="126" t="n"/>
      <c r="V175" s="126" t="n"/>
      <c r="W175" s="126" t="n"/>
      <c r="X175" s="126" t="n"/>
      <c r="Y175" s="126" t="n"/>
      <c r="Z175" s="126" t="n"/>
      <c r="AA175" s="126" t="n"/>
      <c r="AB175" s="126" t="n"/>
      <c r="AC175" s="126" t="n"/>
      <c r="AD175" s="126" t="n"/>
      <c r="AE175" s="126" t="n"/>
      <c r="AF175" s="126" t="n"/>
      <c r="AG175" s="126" t="n"/>
      <c r="AH175" s="126" t="n"/>
      <c r="AI175" s="126" t="n"/>
      <c r="AJ175" s="126" t="n"/>
      <c r="AK175" s="126" t="n"/>
      <c r="AL175" s="126" t="n"/>
      <c r="AM175" s="126" t="n"/>
      <c r="AN175" s="126" t="n"/>
      <c r="AO175" s="126" t="n"/>
      <c r="AP175" s="126" t="n"/>
      <c r="AQ175" s="126" t="n"/>
      <c r="AR175" s="126" t="n"/>
      <c r="AS175" s="126" t="n"/>
      <c r="AT175" s="126" t="n"/>
      <c r="AU175" s="126" t="n"/>
      <c r="AV175" s="126" t="n"/>
      <c r="AW175" s="126" t="n"/>
      <c r="AX175" s="126" t="n"/>
      <c r="AY175" s="126" t="n"/>
      <c r="AZ175" s="126" t="n"/>
      <c r="BA175" s="126" t="n"/>
      <c r="BB175" s="126" t="n"/>
      <c r="BC175" s="126" t="n"/>
      <c r="BD175" s="126" t="n"/>
      <c r="BE175" s="126" t="n"/>
      <c r="BF175" s="126" t="n"/>
      <c r="BG175" s="126" t="n"/>
    </row>
    <row r="176" ht="21.95" customFormat="1" customHeight="1" s="106">
      <c r="A176" s="393" t="inlineStr">
        <is>
          <t>รวมราคาค่าแรงและค่าวัสดุ 5</t>
        </is>
      </c>
      <c r="B176" s="588" t="n"/>
      <c r="C176" s="588" t="n"/>
      <c r="D176" s="588" t="n"/>
      <c r="E176" s="566" t="n"/>
      <c r="F176" s="572">
        <f>SUM(F122:F175)</f>
        <v/>
      </c>
      <c r="G176" s="572" t="n"/>
      <c r="H176" s="572">
        <f>SUM(H122:H175)</f>
        <v/>
      </c>
      <c r="I176" s="572">
        <f>SUM(I121:I175)</f>
        <v/>
      </c>
      <c r="J176" s="100" t="n"/>
      <c r="K176" s="101" t="n"/>
      <c r="L176" s="577" t="n"/>
      <c r="M176" s="578" t="n"/>
      <c r="N176" s="104" t="n"/>
      <c r="O176" s="104" t="n"/>
      <c r="P176" s="104" t="n"/>
      <c r="Q176" s="101" t="n"/>
      <c r="R176" s="101" t="n"/>
      <c r="S176" s="126" t="n"/>
      <c r="T176" s="126" t="n"/>
      <c r="U176" s="126" t="n"/>
      <c r="V176" s="126" t="n"/>
      <c r="W176" s="126" t="n"/>
      <c r="X176" s="126" t="n"/>
      <c r="Y176" s="126" t="n"/>
      <c r="Z176" s="126" t="n"/>
      <c r="AA176" s="126" t="n"/>
      <c r="AB176" s="126" t="n"/>
      <c r="AC176" s="126" t="n"/>
      <c r="AD176" s="126" t="n"/>
      <c r="AE176" s="126" t="n"/>
      <c r="AF176" s="126" t="n"/>
      <c r="AG176" s="126" t="n"/>
      <c r="AH176" s="126" t="n"/>
      <c r="AI176" s="126" t="n"/>
      <c r="AJ176" s="126" t="n"/>
      <c r="AK176" s="126" t="n"/>
      <c r="AL176" s="126" t="n"/>
      <c r="AM176" s="126" t="n"/>
      <c r="AN176" s="126" t="n"/>
      <c r="AO176" s="126" t="n"/>
      <c r="AP176" s="126" t="n"/>
      <c r="AQ176" s="126" t="n"/>
      <c r="AR176" s="126" t="n"/>
      <c r="AS176" s="126" t="n"/>
      <c r="AT176" s="126" t="n"/>
      <c r="AU176" s="126" t="n"/>
      <c r="AV176" s="126" t="n"/>
      <c r="AW176" s="126" t="n"/>
      <c r="AX176" s="126" t="n"/>
      <c r="AY176" s="126" t="n"/>
      <c r="AZ176" s="126" t="n"/>
      <c r="BA176" s="126" t="n"/>
      <c r="BB176" s="126" t="n"/>
      <c r="BC176" s="126" t="n"/>
      <c r="BD176" s="126" t="n"/>
      <c r="BE176" s="126" t="n"/>
      <c r="BF176" s="126" t="n"/>
      <c r="BG176" s="126" t="n"/>
    </row>
    <row r="177" hidden="1" ht="21.95" customFormat="1" customHeight="1" s="106">
      <c r="A177" s="393" t="inlineStr">
        <is>
          <t>รวมราคาค่าแรงและค่าวัสดุงานหมวดงานปรับปรุงภูมิทัศน์</t>
        </is>
      </c>
      <c r="B177" s="588" t="n"/>
      <c r="C177" s="588" t="n"/>
      <c r="D177" s="588" t="n"/>
      <c r="E177" s="566" t="n"/>
      <c r="F177" s="572">
        <f>F19+F31+F96+F120+F176</f>
        <v/>
      </c>
      <c r="G177" s="572" t="n"/>
      <c r="H177" s="572">
        <f>H19+H31+H96+H120+H176</f>
        <v/>
      </c>
      <c r="I177" s="572">
        <f>I19+I31+I96+I120+I176</f>
        <v/>
      </c>
      <c r="J177" s="100" t="n"/>
      <c r="K177" s="101" t="n"/>
      <c r="L177" s="577" t="n"/>
      <c r="M177" s="578" t="n"/>
      <c r="N177" s="104" t="n"/>
      <c r="O177" s="104" t="n"/>
      <c r="P177" s="104" t="n"/>
      <c r="Q177" s="101" t="n"/>
      <c r="R177" s="101" t="n"/>
      <c r="S177" s="126" t="n"/>
      <c r="T177" s="126" t="n"/>
      <c r="U177" s="126" t="n"/>
      <c r="V177" s="126" t="n"/>
      <c r="W177" s="126" t="n"/>
      <c r="X177" s="126" t="n"/>
      <c r="Y177" s="126" t="n"/>
      <c r="Z177" s="126" t="n"/>
      <c r="AA177" s="126" t="n"/>
      <c r="AB177" s="126" t="n"/>
      <c r="AC177" s="126" t="n"/>
      <c r="AD177" s="126" t="n"/>
      <c r="AE177" s="126" t="n"/>
      <c r="AF177" s="126" t="n"/>
      <c r="AG177" s="126" t="n"/>
      <c r="AH177" s="126" t="n"/>
      <c r="AI177" s="126" t="n"/>
      <c r="AJ177" s="126" t="n"/>
      <c r="AK177" s="126" t="n"/>
      <c r="AL177" s="126" t="n"/>
      <c r="AM177" s="126" t="n"/>
      <c r="AN177" s="126" t="n"/>
      <c r="AO177" s="126" t="n"/>
      <c r="AP177" s="126" t="n"/>
      <c r="AQ177" s="126" t="n"/>
      <c r="AR177" s="126" t="n"/>
      <c r="AS177" s="126" t="n"/>
      <c r="AT177" s="126" t="n"/>
      <c r="AU177" s="126" t="n"/>
      <c r="AV177" s="126" t="n"/>
      <c r="AW177" s="126" t="n"/>
      <c r="AX177" s="126" t="n"/>
      <c r="AY177" s="126" t="n"/>
      <c r="AZ177" s="126" t="n"/>
      <c r="BA177" s="126" t="n"/>
      <c r="BB177" s="126" t="n"/>
      <c r="BC177" s="126" t="n"/>
      <c r="BD177" s="126" t="n"/>
      <c r="BE177" s="126" t="n"/>
      <c r="BF177" s="126" t="n"/>
      <c r="BG177" s="126" t="n"/>
    </row>
    <row r="178" ht="21.95" customFormat="1" customHeight="1" s="106">
      <c r="A178" s="182" t="n"/>
      <c r="B178" s="34" t="n"/>
      <c r="C178" s="568" t="n"/>
      <c r="D178" s="184" t="n"/>
      <c r="E178" s="630" t="n"/>
      <c r="F178" s="186" t="n"/>
      <c r="G178" s="184" t="n"/>
      <c r="H178" s="184" t="n"/>
      <c r="I178" s="568" t="n"/>
      <c r="J178" s="100" t="n"/>
      <c r="K178" s="101" t="n"/>
      <c r="L178" s="577" t="n"/>
      <c r="M178" s="578" t="n"/>
      <c r="N178" s="104" t="n"/>
      <c r="O178" s="104" t="n"/>
      <c r="P178" s="104" t="n"/>
      <c r="Q178" s="101" t="n"/>
      <c r="R178" s="101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  <c r="AM178" s="126" t="n"/>
      <c r="AN178" s="126" t="n"/>
      <c r="AO178" s="126" t="n"/>
      <c r="AP178" s="126" t="n"/>
      <c r="AQ178" s="126" t="n"/>
      <c r="AR178" s="126" t="n"/>
      <c r="AS178" s="126" t="n"/>
      <c r="AT178" s="126" t="n"/>
      <c r="AU178" s="126" t="n"/>
      <c r="AV178" s="126" t="n"/>
      <c r="AW178" s="126" t="n"/>
      <c r="AX178" s="126" t="n"/>
      <c r="AY178" s="126" t="n"/>
      <c r="AZ178" s="126" t="n"/>
      <c r="BA178" s="126" t="n"/>
      <c r="BB178" s="126" t="n"/>
      <c r="BC178" s="126" t="n"/>
      <c r="BD178" s="126" t="n"/>
      <c r="BE178" s="126" t="n"/>
      <c r="BF178" s="126" t="n"/>
      <c r="BG178" s="126" t="n"/>
    </row>
    <row r="179" ht="24.75" customFormat="1" customHeight="1" s="195">
      <c r="A179" s="569" t="n"/>
      <c r="B179" s="569" t="n"/>
      <c r="C179" s="568" t="n"/>
      <c r="D179" s="184" t="n"/>
      <c r="E179" s="630" t="n"/>
      <c r="F179" s="569" t="n"/>
      <c r="G179" s="101" t="n"/>
      <c r="H179" s="184" t="n"/>
      <c r="I179" s="568" t="n"/>
      <c r="J179" s="189" t="n"/>
      <c r="K179" s="190" t="n"/>
      <c r="L179" s="631" t="n"/>
      <c r="M179" s="632" t="n"/>
      <c r="N179" s="193" t="n"/>
      <c r="O179" s="193" t="n"/>
      <c r="P179" s="193" t="n"/>
      <c r="Q179" s="190" t="n"/>
      <c r="R179" s="190" t="n"/>
      <c r="S179" s="194" t="n"/>
      <c r="T179" s="194" t="n"/>
      <c r="U179" s="194" t="n"/>
      <c r="V179" s="194" t="n"/>
      <c r="W179" s="194" t="n"/>
      <c r="X179" s="194" t="n"/>
      <c r="Y179" s="194" t="n"/>
      <c r="Z179" s="194" t="n"/>
      <c r="AA179" s="194" t="n"/>
      <c r="AB179" s="194" t="n"/>
      <c r="AC179" s="194" t="n"/>
      <c r="AD179" s="194" t="n"/>
      <c r="AE179" s="194" t="n"/>
      <c r="AF179" s="194" t="n"/>
      <c r="AG179" s="194" t="n"/>
      <c r="AH179" s="194" t="n"/>
      <c r="AI179" s="194" t="n"/>
      <c r="AJ179" s="194" t="n"/>
      <c r="AK179" s="194" t="n"/>
      <c r="AL179" s="194" t="n"/>
      <c r="AM179" s="194" t="n"/>
      <c r="AN179" s="194" t="n"/>
      <c r="AO179" s="194" t="n"/>
      <c r="AP179" s="194" t="n"/>
      <c r="AQ179" s="194" t="n"/>
      <c r="AR179" s="194" t="n"/>
      <c r="AS179" s="194" t="n"/>
      <c r="AT179" s="194" t="n"/>
      <c r="AU179" s="194" t="n"/>
      <c r="AV179" s="194" t="n"/>
      <c r="AW179" s="194" t="n"/>
      <c r="AX179" s="194" t="n"/>
      <c r="AY179" s="194" t="n"/>
      <c r="AZ179" s="194" t="n"/>
      <c r="BA179" s="194" t="n"/>
      <c r="BB179" s="194" t="n"/>
      <c r="BC179" s="194" t="n"/>
      <c r="BD179" s="194" t="n"/>
      <c r="BE179" s="194" t="n"/>
      <c r="BF179" s="194" t="n"/>
      <c r="BG179" s="194" t="n"/>
    </row>
    <row r="180" ht="24" customHeight="1">
      <c r="A180" s="633" t="n"/>
      <c r="B180" s="104" t="n"/>
      <c r="C180" s="568" t="n"/>
      <c r="D180" s="184" t="n"/>
      <c r="E180" s="630" t="n"/>
      <c r="F180" s="633" t="n"/>
      <c r="G180" s="101" t="n"/>
      <c r="H180" s="184" t="n"/>
      <c r="I180" s="568" t="n"/>
      <c r="J180" s="634" t="n"/>
    </row>
    <row r="181" ht="24" customHeight="1">
      <c r="C181" s="568" t="n"/>
      <c r="H181" s="101" t="n"/>
      <c r="J181" s="635" t="n"/>
    </row>
    <row r="182" ht="24" customHeight="1">
      <c r="A182" s="569" t="n"/>
      <c r="C182" s="568" t="n"/>
      <c r="F182" s="569" t="n"/>
      <c r="G182" s="569" t="n"/>
      <c r="J182" s="635" t="n"/>
    </row>
    <row r="183" ht="24" customHeight="1">
      <c r="A183" s="633" t="n"/>
      <c r="C183" s="568" t="n"/>
      <c r="F183" s="633" t="n"/>
      <c r="G183" s="104" t="n"/>
      <c r="H183" s="184" t="n"/>
    </row>
    <row r="184" ht="24" customHeight="1">
      <c r="C184" s="568" t="n"/>
      <c r="F184" s="104" t="n"/>
      <c r="G184" s="104" t="n"/>
      <c r="H184" s="101" t="n"/>
    </row>
    <row r="185" ht="24" customHeight="1">
      <c r="C185" s="568" t="n"/>
      <c r="F185" s="569" t="n"/>
      <c r="G185" s="101" t="n"/>
      <c r="H185" s="101" t="n"/>
    </row>
    <row r="186" ht="24" customHeight="1">
      <c r="C186" s="568" t="n"/>
      <c r="F186" s="633" t="n"/>
      <c r="G186" s="101" t="n"/>
      <c r="H186" s="101" t="n"/>
    </row>
    <row r="187" ht="24" customHeight="1">
      <c r="C187" s="568" t="n"/>
      <c r="F187" s="104" t="n"/>
      <c r="G187" s="104" t="n"/>
      <c r="H187" s="101" t="n"/>
    </row>
    <row r="188" ht="24" customHeight="1">
      <c r="C188" s="568" t="n"/>
      <c r="F188" s="104" t="n"/>
      <c r="G188" s="104" t="n"/>
      <c r="H188" s="101" t="n"/>
    </row>
    <row r="189" ht="24" customHeight="1">
      <c r="C189" s="568" t="n"/>
      <c r="F189" s="104" t="n"/>
      <c r="G189" s="104" t="n"/>
      <c r="H189" s="101" t="n"/>
    </row>
    <row r="190" ht="24" customHeight="1">
      <c r="C190" s="568" t="n"/>
      <c r="F190" s="101" t="n"/>
      <c r="G190" s="101" t="n"/>
      <c r="H190" s="104" t="n"/>
      <c r="I190" s="201" t="n"/>
    </row>
    <row r="191" ht="24" customHeight="1">
      <c r="F191" s="101" t="n"/>
      <c r="G191" s="101" t="n"/>
      <c r="H191" s="104" t="n"/>
    </row>
    <row r="192" ht="24" customHeight="1">
      <c r="F192" s="101" t="n"/>
      <c r="G192" s="101" t="n"/>
      <c r="H192" s="104" t="n"/>
    </row>
    <row r="193" ht="24" customHeight="1">
      <c r="F193" s="101" t="n"/>
      <c r="G193" s="101" t="n"/>
      <c r="H193" s="104" t="n"/>
    </row>
    <row r="194" ht="24" customHeight="1">
      <c r="F194" s="101" t="n"/>
      <c r="G194" s="101" t="n"/>
      <c r="H194" s="104" t="n"/>
    </row>
    <row r="195" ht="24.75" customHeight="1">
      <c r="F195" s="101" t="n"/>
      <c r="G195" s="101" t="n"/>
      <c r="H195" s="104" t="n"/>
      <c r="I195" s="201" t="inlineStr">
        <is>
          <t>12/17</t>
        </is>
      </c>
    </row>
    <row r="196" ht="24.75" customHeight="1">
      <c r="E196" s="636" t="n"/>
      <c r="F196" s="101" t="n"/>
      <c r="G196" s="101" t="n"/>
      <c r="H196" s="104" t="n"/>
      <c r="I196" s="201" t="n"/>
    </row>
    <row r="197" ht="24.75" customHeight="1">
      <c r="D197" s="204" t="n"/>
    </row>
    <row r="198" ht="24.75" customHeight="1"/>
    <row r="199" ht="24.75" customHeight="1"/>
    <row r="200" ht="24.75" customHeight="1"/>
    <row r="201" ht="24.75" customFormat="1" customHeight="1" s="205">
      <c r="A201" s="101" t="n"/>
      <c r="B201" s="101" t="n"/>
      <c r="C201" s="568" t="n"/>
      <c r="D201" s="104" t="n"/>
      <c r="E201" s="569" t="n"/>
      <c r="F201" s="569" t="n"/>
      <c r="G201" s="569" t="n"/>
      <c r="H201" s="569" t="n"/>
      <c r="I201" s="569" t="n"/>
      <c r="J201" s="126" t="n"/>
      <c r="K201" s="101" t="n"/>
      <c r="L201" s="101" t="n"/>
      <c r="M201" s="104" t="n"/>
      <c r="N201" s="104" t="n"/>
      <c r="O201" s="104" t="n"/>
      <c r="P201" s="104" t="n"/>
      <c r="Q201" s="101" t="n"/>
      <c r="R201" s="101" t="n"/>
      <c r="S201" s="126" t="n"/>
      <c r="T201" s="126" t="n"/>
      <c r="U201" s="126" t="n"/>
      <c r="V201" s="126" t="n"/>
      <c r="W201" s="126" t="n"/>
      <c r="X201" s="126" t="n"/>
      <c r="Y201" s="126" t="n"/>
      <c r="Z201" s="126" t="n"/>
      <c r="AA201" s="126" t="n"/>
      <c r="AB201" s="126" t="n"/>
      <c r="AC201" s="126" t="n"/>
      <c r="AD201" s="126" t="n"/>
      <c r="AE201" s="126" t="n"/>
      <c r="AF201" s="126" t="n"/>
      <c r="AG201" s="126" t="n"/>
      <c r="AH201" s="126" t="n"/>
      <c r="AI201" s="126" t="n"/>
      <c r="AJ201" s="126" t="n"/>
      <c r="AK201" s="126" t="n"/>
      <c r="AL201" s="126" t="n"/>
      <c r="AM201" s="126" t="n"/>
      <c r="AN201" s="126" t="n"/>
      <c r="AO201" s="126" t="n"/>
      <c r="AP201" s="126" t="n"/>
      <c r="AQ201" s="126" t="n"/>
      <c r="AR201" s="126" t="n"/>
      <c r="AS201" s="126" t="n"/>
      <c r="AT201" s="126" t="n"/>
      <c r="AU201" s="126" t="n"/>
      <c r="AV201" s="126" t="n"/>
      <c r="AW201" s="126" t="n"/>
      <c r="AX201" s="126" t="n"/>
      <c r="AY201" s="126" t="n"/>
      <c r="AZ201" s="126" t="n"/>
      <c r="BA201" s="126" t="n"/>
      <c r="BB201" s="126" t="n"/>
      <c r="BC201" s="126" t="n"/>
      <c r="BD201" s="194" t="n"/>
      <c r="BE201" s="194" t="n"/>
      <c r="BF201" s="194" t="n"/>
      <c r="BG201" s="194" t="n"/>
    </row>
    <row r="211" customFormat="1" s="126">
      <c r="A211" s="101" t="n"/>
      <c r="B211" s="101" t="n"/>
      <c r="C211" s="568" t="n"/>
      <c r="D211" s="104" t="n"/>
      <c r="E211" s="569" t="n"/>
      <c r="F211" s="569" t="n"/>
      <c r="G211" s="569" t="n"/>
      <c r="H211" s="569" t="n"/>
      <c r="I211" s="569" t="n"/>
      <c r="J211" s="101" t="n"/>
      <c r="K211" s="101" t="n"/>
      <c r="L211" s="101" t="n"/>
      <c r="M211" s="104" t="n"/>
      <c r="N211" s="104" t="n"/>
      <c r="O211" s="104" t="n"/>
      <c r="P211" s="104" t="n"/>
      <c r="Q211" s="101" t="n"/>
      <c r="R211" s="101" t="n"/>
    </row>
  </sheetData>
  <mergeCells count="15">
    <mergeCell ref="A5:A6"/>
    <mergeCell ref="G4:H4"/>
    <mergeCell ref="A2:I2"/>
    <mergeCell ref="A96:E96"/>
    <mergeCell ref="A177:E177"/>
    <mergeCell ref="A19:E19"/>
    <mergeCell ref="G5:H5"/>
    <mergeCell ref="E5:F5"/>
    <mergeCell ref="C5:C6"/>
    <mergeCell ref="A31:E31"/>
    <mergeCell ref="D5:D6"/>
    <mergeCell ref="B5:B6"/>
    <mergeCell ref="I5:I6"/>
    <mergeCell ref="A120:E120"/>
    <mergeCell ref="A176:E176"/>
  </mergeCells>
  <printOptions horizontalCentered="1"/>
  <pageMargins left="0.1968503937007874" right="0.1968503937007874" top="0.1968503937007874" bottom="0.1968503937007874" header="0.3149606299212598" footer="0.3149606299212598"/>
  <pageSetup orientation="landscape" paperSize="9" scale="80"/>
</worksheet>
</file>

<file path=xl/worksheets/sheet4.xml><?xml version="1.0" encoding="utf-8"?>
<worksheet xmlns="http://schemas.openxmlformats.org/spreadsheetml/2006/main">
  <sheetPr>
    <tabColor theme="5"/>
    <outlinePr summaryBelow="1" summaryRight="1"/>
    <pageSetUpPr/>
  </sheetPr>
  <dimension ref="A1:AO26"/>
  <sheetViews>
    <sheetView view="pageBreakPreview" topLeftCell="A4" zoomScaleNormal="100" zoomScaleSheetLayoutView="100" workbookViewId="0">
      <selection activeCell="C27" sqref="C27"/>
    </sheetView>
  </sheetViews>
  <sheetFormatPr baseColWidth="8" defaultRowHeight="24"/>
  <cols>
    <col width="7.140625" customWidth="1" style="29" min="1" max="1"/>
    <col width="13" customWidth="1" style="29" min="2" max="2"/>
    <col width="31.85546875" customWidth="1" style="29" min="3" max="3"/>
    <col width="10" customWidth="1" style="29" min="4" max="5"/>
    <col width="14.42578125" customWidth="1" style="29" min="6" max="6"/>
    <col width="15" customWidth="1" style="29" min="7" max="8"/>
    <col width="14.7109375" customWidth="1" style="29" min="9" max="9"/>
    <col width="17.7109375" customWidth="1" style="29" min="10" max="10"/>
    <col width="10.42578125" customWidth="1" style="29" min="11" max="11"/>
    <col width="9.140625" customWidth="1" style="29" min="12" max="41"/>
    <col width="9.140625" customWidth="1" style="29" min="42" max="256"/>
    <col width="4.85546875" customWidth="1" style="29" min="257" max="257"/>
    <col width="13" customWidth="1" style="29" min="258" max="258"/>
    <col width="31.85546875" customWidth="1" style="29" min="259" max="259"/>
    <col width="10" customWidth="1" style="29" min="260" max="261"/>
    <col width="14.42578125" customWidth="1" style="29" min="262" max="262"/>
    <col width="12.42578125" customWidth="1" style="29" min="263" max="263"/>
    <col width="10.5703125" bestFit="1" customWidth="1" style="29" min="264" max="264"/>
    <col width="12" customWidth="1" style="29" min="265" max="265"/>
    <col width="14" customWidth="1" style="29" min="266" max="266"/>
    <col width="10.42578125" customWidth="1" style="29" min="267" max="267"/>
    <col width="9.140625" customWidth="1" style="29" min="268" max="512"/>
    <col width="4.85546875" customWidth="1" style="29" min="513" max="513"/>
    <col width="13" customWidth="1" style="29" min="514" max="514"/>
    <col width="31.85546875" customWidth="1" style="29" min="515" max="515"/>
    <col width="10" customWidth="1" style="29" min="516" max="517"/>
    <col width="14.42578125" customWidth="1" style="29" min="518" max="518"/>
    <col width="12.42578125" customWidth="1" style="29" min="519" max="519"/>
    <col width="10.5703125" bestFit="1" customWidth="1" style="29" min="520" max="520"/>
    <col width="12" customWidth="1" style="29" min="521" max="521"/>
    <col width="14" customWidth="1" style="29" min="522" max="522"/>
    <col width="10.42578125" customWidth="1" style="29" min="523" max="523"/>
    <col width="9.140625" customWidth="1" style="29" min="524" max="768"/>
    <col width="4.85546875" customWidth="1" style="29" min="769" max="769"/>
    <col width="13" customWidth="1" style="29" min="770" max="770"/>
    <col width="31.85546875" customWidth="1" style="29" min="771" max="771"/>
    <col width="10" customWidth="1" style="29" min="772" max="773"/>
    <col width="14.42578125" customWidth="1" style="29" min="774" max="774"/>
    <col width="12.42578125" customWidth="1" style="29" min="775" max="775"/>
    <col width="10.5703125" bestFit="1" customWidth="1" style="29" min="776" max="776"/>
    <col width="12" customWidth="1" style="29" min="777" max="777"/>
    <col width="14" customWidth="1" style="29" min="778" max="778"/>
    <col width="10.42578125" customWidth="1" style="29" min="779" max="779"/>
    <col width="9.140625" customWidth="1" style="29" min="780" max="1024"/>
    <col width="4.85546875" customWidth="1" style="29" min="1025" max="1025"/>
    <col width="13" customWidth="1" style="29" min="1026" max="1026"/>
    <col width="31.85546875" customWidth="1" style="29" min="1027" max="1027"/>
    <col width="10" customWidth="1" style="29" min="1028" max="1029"/>
    <col width="14.42578125" customWidth="1" style="29" min="1030" max="1030"/>
    <col width="12.42578125" customWidth="1" style="29" min="1031" max="1031"/>
    <col width="10.5703125" bestFit="1" customWidth="1" style="29" min="1032" max="1032"/>
    <col width="12" customWidth="1" style="29" min="1033" max="1033"/>
    <col width="14" customWidth="1" style="29" min="1034" max="1034"/>
    <col width="10.42578125" customWidth="1" style="29" min="1035" max="1035"/>
    <col width="9.140625" customWidth="1" style="29" min="1036" max="1280"/>
    <col width="4.85546875" customWidth="1" style="29" min="1281" max="1281"/>
    <col width="13" customWidth="1" style="29" min="1282" max="1282"/>
    <col width="31.85546875" customWidth="1" style="29" min="1283" max="1283"/>
    <col width="10" customWidth="1" style="29" min="1284" max="1285"/>
    <col width="14.42578125" customWidth="1" style="29" min="1286" max="1286"/>
    <col width="12.42578125" customWidth="1" style="29" min="1287" max="1287"/>
    <col width="10.5703125" bestFit="1" customWidth="1" style="29" min="1288" max="1288"/>
    <col width="12" customWidth="1" style="29" min="1289" max="1289"/>
    <col width="14" customWidth="1" style="29" min="1290" max="1290"/>
    <col width="10.42578125" customWidth="1" style="29" min="1291" max="1291"/>
    <col width="9.140625" customWidth="1" style="29" min="1292" max="1536"/>
    <col width="4.85546875" customWidth="1" style="29" min="1537" max="1537"/>
    <col width="13" customWidth="1" style="29" min="1538" max="1538"/>
    <col width="31.85546875" customWidth="1" style="29" min="1539" max="1539"/>
    <col width="10" customWidth="1" style="29" min="1540" max="1541"/>
    <col width="14.42578125" customWidth="1" style="29" min="1542" max="1542"/>
    <col width="12.42578125" customWidth="1" style="29" min="1543" max="1543"/>
    <col width="10.5703125" bestFit="1" customWidth="1" style="29" min="1544" max="1544"/>
    <col width="12" customWidth="1" style="29" min="1545" max="1545"/>
    <col width="14" customWidth="1" style="29" min="1546" max="1546"/>
    <col width="10.42578125" customWidth="1" style="29" min="1547" max="1547"/>
    <col width="9.140625" customWidth="1" style="29" min="1548" max="1792"/>
    <col width="4.85546875" customWidth="1" style="29" min="1793" max="1793"/>
    <col width="13" customWidth="1" style="29" min="1794" max="1794"/>
    <col width="31.85546875" customWidth="1" style="29" min="1795" max="1795"/>
    <col width="10" customWidth="1" style="29" min="1796" max="1797"/>
    <col width="14.42578125" customWidth="1" style="29" min="1798" max="1798"/>
    <col width="12.42578125" customWidth="1" style="29" min="1799" max="1799"/>
    <col width="10.5703125" bestFit="1" customWidth="1" style="29" min="1800" max="1800"/>
    <col width="12" customWidth="1" style="29" min="1801" max="1801"/>
    <col width="14" customWidth="1" style="29" min="1802" max="1802"/>
    <col width="10.42578125" customWidth="1" style="29" min="1803" max="1803"/>
    <col width="9.140625" customWidth="1" style="29" min="1804" max="2048"/>
    <col width="4.85546875" customWidth="1" style="29" min="2049" max="2049"/>
    <col width="13" customWidth="1" style="29" min="2050" max="2050"/>
    <col width="31.85546875" customWidth="1" style="29" min="2051" max="2051"/>
    <col width="10" customWidth="1" style="29" min="2052" max="2053"/>
    <col width="14.42578125" customWidth="1" style="29" min="2054" max="2054"/>
    <col width="12.42578125" customWidth="1" style="29" min="2055" max="2055"/>
    <col width="10.5703125" bestFit="1" customWidth="1" style="29" min="2056" max="2056"/>
    <col width="12" customWidth="1" style="29" min="2057" max="2057"/>
    <col width="14" customWidth="1" style="29" min="2058" max="2058"/>
    <col width="10.42578125" customWidth="1" style="29" min="2059" max="2059"/>
    <col width="9.140625" customWidth="1" style="29" min="2060" max="2304"/>
    <col width="4.85546875" customWidth="1" style="29" min="2305" max="2305"/>
    <col width="13" customWidth="1" style="29" min="2306" max="2306"/>
    <col width="31.85546875" customWidth="1" style="29" min="2307" max="2307"/>
    <col width="10" customWidth="1" style="29" min="2308" max="2309"/>
    <col width="14.42578125" customWidth="1" style="29" min="2310" max="2310"/>
    <col width="12.42578125" customWidth="1" style="29" min="2311" max="2311"/>
    <col width="10.5703125" bestFit="1" customWidth="1" style="29" min="2312" max="2312"/>
    <col width="12" customWidth="1" style="29" min="2313" max="2313"/>
    <col width="14" customWidth="1" style="29" min="2314" max="2314"/>
    <col width="10.42578125" customWidth="1" style="29" min="2315" max="2315"/>
    <col width="9.140625" customWidth="1" style="29" min="2316" max="2560"/>
    <col width="4.85546875" customWidth="1" style="29" min="2561" max="2561"/>
    <col width="13" customWidth="1" style="29" min="2562" max="2562"/>
    <col width="31.85546875" customWidth="1" style="29" min="2563" max="2563"/>
    <col width="10" customWidth="1" style="29" min="2564" max="2565"/>
    <col width="14.42578125" customWidth="1" style="29" min="2566" max="2566"/>
    <col width="12.42578125" customWidth="1" style="29" min="2567" max="2567"/>
    <col width="10.5703125" bestFit="1" customWidth="1" style="29" min="2568" max="2568"/>
    <col width="12" customWidth="1" style="29" min="2569" max="2569"/>
    <col width="14" customWidth="1" style="29" min="2570" max="2570"/>
    <col width="10.42578125" customWidth="1" style="29" min="2571" max="2571"/>
    <col width="9.140625" customWidth="1" style="29" min="2572" max="2816"/>
    <col width="4.85546875" customWidth="1" style="29" min="2817" max="2817"/>
    <col width="13" customWidth="1" style="29" min="2818" max="2818"/>
    <col width="31.85546875" customWidth="1" style="29" min="2819" max="2819"/>
    <col width="10" customWidth="1" style="29" min="2820" max="2821"/>
    <col width="14.42578125" customWidth="1" style="29" min="2822" max="2822"/>
    <col width="12.42578125" customWidth="1" style="29" min="2823" max="2823"/>
    <col width="10.5703125" bestFit="1" customWidth="1" style="29" min="2824" max="2824"/>
    <col width="12" customWidth="1" style="29" min="2825" max="2825"/>
    <col width="14" customWidth="1" style="29" min="2826" max="2826"/>
    <col width="10.42578125" customWidth="1" style="29" min="2827" max="2827"/>
    <col width="9.140625" customWidth="1" style="29" min="2828" max="3072"/>
    <col width="4.85546875" customWidth="1" style="29" min="3073" max="3073"/>
    <col width="13" customWidth="1" style="29" min="3074" max="3074"/>
    <col width="31.85546875" customWidth="1" style="29" min="3075" max="3075"/>
    <col width="10" customWidth="1" style="29" min="3076" max="3077"/>
    <col width="14.42578125" customWidth="1" style="29" min="3078" max="3078"/>
    <col width="12.42578125" customWidth="1" style="29" min="3079" max="3079"/>
    <col width="10.5703125" bestFit="1" customWidth="1" style="29" min="3080" max="3080"/>
    <col width="12" customWidth="1" style="29" min="3081" max="3081"/>
    <col width="14" customWidth="1" style="29" min="3082" max="3082"/>
    <col width="10.42578125" customWidth="1" style="29" min="3083" max="3083"/>
    <col width="9.140625" customWidth="1" style="29" min="3084" max="3328"/>
    <col width="4.85546875" customWidth="1" style="29" min="3329" max="3329"/>
    <col width="13" customWidth="1" style="29" min="3330" max="3330"/>
    <col width="31.85546875" customWidth="1" style="29" min="3331" max="3331"/>
    <col width="10" customWidth="1" style="29" min="3332" max="3333"/>
    <col width="14.42578125" customWidth="1" style="29" min="3334" max="3334"/>
    <col width="12.42578125" customWidth="1" style="29" min="3335" max="3335"/>
    <col width="10.5703125" bestFit="1" customWidth="1" style="29" min="3336" max="3336"/>
    <col width="12" customWidth="1" style="29" min="3337" max="3337"/>
    <col width="14" customWidth="1" style="29" min="3338" max="3338"/>
    <col width="10.42578125" customWidth="1" style="29" min="3339" max="3339"/>
    <col width="9.140625" customWidth="1" style="29" min="3340" max="3584"/>
    <col width="4.85546875" customWidth="1" style="29" min="3585" max="3585"/>
    <col width="13" customWidth="1" style="29" min="3586" max="3586"/>
    <col width="31.85546875" customWidth="1" style="29" min="3587" max="3587"/>
    <col width="10" customWidth="1" style="29" min="3588" max="3589"/>
    <col width="14.42578125" customWidth="1" style="29" min="3590" max="3590"/>
    <col width="12.42578125" customWidth="1" style="29" min="3591" max="3591"/>
    <col width="10.5703125" bestFit="1" customWidth="1" style="29" min="3592" max="3592"/>
    <col width="12" customWidth="1" style="29" min="3593" max="3593"/>
    <col width="14" customWidth="1" style="29" min="3594" max="3594"/>
    <col width="10.42578125" customWidth="1" style="29" min="3595" max="3595"/>
    <col width="9.140625" customWidth="1" style="29" min="3596" max="3840"/>
    <col width="4.85546875" customWidth="1" style="29" min="3841" max="3841"/>
    <col width="13" customWidth="1" style="29" min="3842" max="3842"/>
    <col width="31.85546875" customWidth="1" style="29" min="3843" max="3843"/>
    <col width="10" customWidth="1" style="29" min="3844" max="3845"/>
    <col width="14.42578125" customWidth="1" style="29" min="3846" max="3846"/>
    <col width="12.42578125" customWidth="1" style="29" min="3847" max="3847"/>
    <col width="10.5703125" bestFit="1" customWidth="1" style="29" min="3848" max="3848"/>
    <col width="12" customWidth="1" style="29" min="3849" max="3849"/>
    <col width="14" customWidth="1" style="29" min="3850" max="3850"/>
    <col width="10.42578125" customWidth="1" style="29" min="3851" max="3851"/>
    <col width="9.140625" customWidth="1" style="29" min="3852" max="4096"/>
    <col width="4.85546875" customWidth="1" style="29" min="4097" max="4097"/>
    <col width="13" customWidth="1" style="29" min="4098" max="4098"/>
    <col width="31.85546875" customWidth="1" style="29" min="4099" max="4099"/>
    <col width="10" customWidth="1" style="29" min="4100" max="4101"/>
    <col width="14.42578125" customWidth="1" style="29" min="4102" max="4102"/>
    <col width="12.42578125" customWidth="1" style="29" min="4103" max="4103"/>
    <col width="10.5703125" bestFit="1" customWidth="1" style="29" min="4104" max="4104"/>
    <col width="12" customWidth="1" style="29" min="4105" max="4105"/>
    <col width="14" customWidth="1" style="29" min="4106" max="4106"/>
    <col width="10.42578125" customWidth="1" style="29" min="4107" max="4107"/>
    <col width="9.140625" customWidth="1" style="29" min="4108" max="4352"/>
    <col width="4.85546875" customWidth="1" style="29" min="4353" max="4353"/>
    <col width="13" customWidth="1" style="29" min="4354" max="4354"/>
    <col width="31.85546875" customWidth="1" style="29" min="4355" max="4355"/>
    <col width="10" customWidth="1" style="29" min="4356" max="4357"/>
    <col width="14.42578125" customWidth="1" style="29" min="4358" max="4358"/>
    <col width="12.42578125" customWidth="1" style="29" min="4359" max="4359"/>
    <col width="10.5703125" bestFit="1" customWidth="1" style="29" min="4360" max="4360"/>
    <col width="12" customWidth="1" style="29" min="4361" max="4361"/>
    <col width="14" customWidth="1" style="29" min="4362" max="4362"/>
    <col width="10.42578125" customWidth="1" style="29" min="4363" max="4363"/>
    <col width="9.140625" customWidth="1" style="29" min="4364" max="4608"/>
    <col width="4.85546875" customWidth="1" style="29" min="4609" max="4609"/>
    <col width="13" customWidth="1" style="29" min="4610" max="4610"/>
    <col width="31.85546875" customWidth="1" style="29" min="4611" max="4611"/>
    <col width="10" customWidth="1" style="29" min="4612" max="4613"/>
    <col width="14.42578125" customWidth="1" style="29" min="4614" max="4614"/>
    <col width="12.42578125" customWidth="1" style="29" min="4615" max="4615"/>
    <col width="10.5703125" bestFit="1" customWidth="1" style="29" min="4616" max="4616"/>
    <col width="12" customWidth="1" style="29" min="4617" max="4617"/>
    <col width="14" customWidth="1" style="29" min="4618" max="4618"/>
    <col width="10.42578125" customWidth="1" style="29" min="4619" max="4619"/>
    <col width="9.140625" customWidth="1" style="29" min="4620" max="4864"/>
    <col width="4.85546875" customWidth="1" style="29" min="4865" max="4865"/>
    <col width="13" customWidth="1" style="29" min="4866" max="4866"/>
    <col width="31.85546875" customWidth="1" style="29" min="4867" max="4867"/>
    <col width="10" customWidth="1" style="29" min="4868" max="4869"/>
    <col width="14.42578125" customWidth="1" style="29" min="4870" max="4870"/>
    <col width="12.42578125" customWidth="1" style="29" min="4871" max="4871"/>
    <col width="10.5703125" bestFit="1" customWidth="1" style="29" min="4872" max="4872"/>
    <col width="12" customWidth="1" style="29" min="4873" max="4873"/>
    <col width="14" customWidth="1" style="29" min="4874" max="4874"/>
    <col width="10.42578125" customWidth="1" style="29" min="4875" max="4875"/>
    <col width="9.140625" customWidth="1" style="29" min="4876" max="5120"/>
    <col width="4.85546875" customWidth="1" style="29" min="5121" max="5121"/>
    <col width="13" customWidth="1" style="29" min="5122" max="5122"/>
    <col width="31.85546875" customWidth="1" style="29" min="5123" max="5123"/>
    <col width="10" customWidth="1" style="29" min="5124" max="5125"/>
    <col width="14.42578125" customWidth="1" style="29" min="5126" max="5126"/>
    <col width="12.42578125" customWidth="1" style="29" min="5127" max="5127"/>
    <col width="10.5703125" bestFit="1" customWidth="1" style="29" min="5128" max="5128"/>
    <col width="12" customWidth="1" style="29" min="5129" max="5129"/>
    <col width="14" customWidth="1" style="29" min="5130" max="5130"/>
    <col width="10.42578125" customWidth="1" style="29" min="5131" max="5131"/>
    <col width="9.140625" customWidth="1" style="29" min="5132" max="5376"/>
    <col width="4.85546875" customWidth="1" style="29" min="5377" max="5377"/>
    <col width="13" customWidth="1" style="29" min="5378" max="5378"/>
    <col width="31.85546875" customWidth="1" style="29" min="5379" max="5379"/>
    <col width="10" customWidth="1" style="29" min="5380" max="5381"/>
    <col width="14.42578125" customWidth="1" style="29" min="5382" max="5382"/>
    <col width="12.42578125" customWidth="1" style="29" min="5383" max="5383"/>
    <col width="10.5703125" bestFit="1" customWidth="1" style="29" min="5384" max="5384"/>
    <col width="12" customWidth="1" style="29" min="5385" max="5385"/>
    <col width="14" customWidth="1" style="29" min="5386" max="5386"/>
    <col width="10.42578125" customWidth="1" style="29" min="5387" max="5387"/>
    <col width="9.140625" customWidth="1" style="29" min="5388" max="5632"/>
    <col width="4.85546875" customWidth="1" style="29" min="5633" max="5633"/>
    <col width="13" customWidth="1" style="29" min="5634" max="5634"/>
    <col width="31.85546875" customWidth="1" style="29" min="5635" max="5635"/>
    <col width="10" customWidth="1" style="29" min="5636" max="5637"/>
    <col width="14.42578125" customWidth="1" style="29" min="5638" max="5638"/>
    <col width="12.42578125" customWidth="1" style="29" min="5639" max="5639"/>
    <col width="10.5703125" bestFit="1" customWidth="1" style="29" min="5640" max="5640"/>
    <col width="12" customWidth="1" style="29" min="5641" max="5641"/>
    <col width="14" customWidth="1" style="29" min="5642" max="5642"/>
    <col width="10.42578125" customWidth="1" style="29" min="5643" max="5643"/>
    <col width="9.140625" customWidth="1" style="29" min="5644" max="5888"/>
    <col width="4.85546875" customWidth="1" style="29" min="5889" max="5889"/>
    <col width="13" customWidth="1" style="29" min="5890" max="5890"/>
    <col width="31.85546875" customWidth="1" style="29" min="5891" max="5891"/>
    <col width="10" customWidth="1" style="29" min="5892" max="5893"/>
    <col width="14.42578125" customWidth="1" style="29" min="5894" max="5894"/>
    <col width="12.42578125" customWidth="1" style="29" min="5895" max="5895"/>
    <col width="10.5703125" bestFit="1" customWidth="1" style="29" min="5896" max="5896"/>
    <col width="12" customWidth="1" style="29" min="5897" max="5897"/>
    <col width="14" customWidth="1" style="29" min="5898" max="5898"/>
    <col width="10.42578125" customWidth="1" style="29" min="5899" max="5899"/>
    <col width="9.140625" customWidth="1" style="29" min="5900" max="6144"/>
    <col width="4.85546875" customWidth="1" style="29" min="6145" max="6145"/>
    <col width="13" customWidth="1" style="29" min="6146" max="6146"/>
    <col width="31.85546875" customWidth="1" style="29" min="6147" max="6147"/>
    <col width="10" customWidth="1" style="29" min="6148" max="6149"/>
    <col width="14.42578125" customWidth="1" style="29" min="6150" max="6150"/>
    <col width="12.42578125" customWidth="1" style="29" min="6151" max="6151"/>
    <col width="10.5703125" bestFit="1" customWidth="1" style="29" min="6152" max="6152"/>
    <col width="12" customWidth="1" style="29" min="6153" max="6153"/>
    <col width="14" customWidth="1" style="29" min="6154" max="6154"/>
    <col width="10.42578125" customWidth="1" style="29" min="6155" max="6155"/>
    <col width="9.140625" customWidth="1" style="29" min="6156" max="6400"/>
    <col width="4.85546875" customWidth="1" style="29" min="6401" max="6401"/>
    <col width="13" customWidth="1" style="29" min="6402" max="6402"/>
    <col width="31.85546875" customWidth="1" style="29" min="6403" max="6403"/>
    <col width="10" customWidth="1" style="29" min="6404" max="6405"/>
    <col width="14.42578125" customWidth="1" style="29" min="6406" max="6406"/>
    <col width="12.42578125" customWidth="1" style="29" min="6407" max="6407"/>
    <col width="10.5703125" bestFit="1" customWidth="1" style="29" min="6408" max="6408"/>
    <col width="12" customWidth="1" style="29" min="6409" max="6409"/>
    <col width="14" customWidth="1" style="29" min="6410" max="6410"/>
    <col width="10.42578125" customWidth="1" style="29" min="6411" max="6411"/>
    <col width="9.140625" customWidth="1" style="29" min="6412" max="6656"/>
    <col width="4.85546875" customWidth="1" style="29" min="6657" max="6657"/>
    <col width="13" customWidth="1" style="29" min="6658" max="6658"/>
    <col width="31.85546875" customWidth="1" style="29" min="6659" max="6659"/>
    <col width="10" customWidth="1" style="29" min="6660" max="6661"/>
    <col width="14.42578125" customWidth="1" style="29" min="6662" max="6662"/>
    <col width="12.42578125" customWidth="1" style="29" min="6663" max="6663"/>
    <col width="10.5703125" bestFit="1" customWidth="1" style="29" min="6664" max="6664"/>
    <col width="12" customWidth="1" style="29" min="6665" max="6665"/>
    <col width="14" customWidth="1" style="29" min="6666" max="6666"/>
    <col width="10.42578125" customWidth="1" style="29" min="6667" max="6667"/>
    <col width="9.140625" customWidth="1" style="29" min="6668" max="6912"/>
    <col width="4.85546875" customWidth="1" style="29" min="6913" max="6913"/>
    <col width="13" customWidth="1" style="29" min="6914" max="6914"/>
    <col width="31.85546875" customWidth="1" style="29" min="6915" max="6915"/>
    <col width="10" customWidth="1" style="29" min="6916" max="6917"/>
    <col width="14.42578125" customWidth="1" style="29" min="6918" max="6918"/>
    <col width="12.42578125" customWidth="1" style="29" min="6919" max="6919"/>
    <col width="10.5703125" bestFit="1" customWidth="1" style="29" min="6920" max="6920"/>
    <col width="12" customWidth="1" style="29" min="6921" max="6921"/>
    <col width="14" customWidth="1" style="29" min="6922" max="6922"/>
    <col width="10.42578125" customWidth="1" style="29" min="6923" max="6923"/>
    <col width="9.140625" customWidth="1" style="29" min="6924" max="7168"/>
    <col width="4.85546875" customWidth="1" style="29" min="7169" max="7169"/>
    <col width="13" customWidth="1" style="29" min="7170" max="7170"/>
    <col width="31.85546875" customWidth="1" style="29" min="7171" max="7171"/>
    <col width="10" customWidth="1" style="29" min="7172" max="7173"/>
    <col width="14.42578125" customWidth="1" style="29" min="7174" max="7174"/>
    <col width="12.42578125" customWidth="1" style="29" min="7175" max="7175"/>
    <col width="10.5703125" bestFit="1" customWidth="1" style="29" min="7176" max="7176"/>
    <col width="12" customWidth="1" style="29" min="7177" max="7177"/>
    <col width="14" customWidth="1" style="29" min="7178" max="7178"/>
    <col width="10.42578125" customWidth="1" style="29" min="7179" max="7179"/>
    <col width="9.140625" customWidth="1" style="29" min="7180" max="7424"/>
    <col width="4.85546875" customWidth="1" style="29" min="7425" max="7425"/>
    <col width="13" customWidth="1" style="29" min="7426" max="7426"/>
    <col width="31.85546875" customWidth="1" style="29" min="7427" max="7427"/>
    <col width="10" customWidth="1" style="29" min="7428" max="7429"/>
    <col width="14.42578125" customWidth="1" style="29" min="7430" max="7430"/>
    <col width="12.42578125" customWidth="1" style="29" min="7431" max="7431"/>
    <col width="10.5703125" bestFit="1" customWidth="1" style="29" min="7432" max="7432"/>
    <col width="12" customWidth="1" style="29" min="7433" max="7433"/>
    <col width="14" customWidth="1" style="29" min="7434" max="7434"/>
    <col width="10.42578125" customWidth="1" style="29" min="7435" max="7435"/>
    <col width="9.140625" customWidth="1" style="29" min="7436" max="7680"/>
    <col width="4.85546875" customWidth="1" style="29" min="7681" max="7681"/>
    <col width="13" customWidth="1" style="29" min="7682" max="7682"/>
    <col width="31.85546875" customWidth="1" style="29" min="7683" max="7683"/>
    <col width="10" customWidth="1" style="29" min="7684" max="7685"/>
    <col width="14.42578125" customWidth="1" style="29" min="7686" max="7686"/>
    <col width="12.42578125" customWidth="1" style="29" min="7687" max="7687"/>
    <col width="10.5703125" bestFit="1" customWidth="1" style="29" min="7688" max="7688"/>
    <col width="12" customWidth="1" style="29" min="7689" max="7689"/>
    <col width="14" customWidth="1" style="29" min="7690" max="7690"/>
    <col width="10.42578125" customWidth="1" style="29" min="7691" max="7691"/>
    <col width="9.140625" customWidth="1" style="29" min="7692" max="7936"/>
    <col width="4.85546875" customWidth="1" style="29" min="7937" max="7937"/>
    <col width="13" customWidth="1" style="29" min="7938" max="7938"/>
    <col width="31.85546875" customWidth="1" style="29" min="7939" max="7939"/>
    <col width="10" customWidth="1" style="29" min="7940" max="7941"/>
    <col width="14.42578125" customWidth="1" style="29" min="7942" max="7942"/>
    <col width="12.42578125" customWidth="1" style="29" min="7943" max="7943"/>
    <col width="10.5703125" bestFit="1" customWidth="1" style="29" min="7944" max="7944"/>
    <col width="12" customWidth="1" style="29" min="7945" max="7945"/>
    <col width="14" customWidth="1" style="29" min="7946" max="7946"/>
    <col width="10.42578125" customWidth="1" style="29" min="7947" max="7947"/>
    <col width="9.140625" customWidth="1" style="29" min="7948" max="8192"/>
    <col width="4.85546875" customWidth="1" style="29" min="8193" max="8193"/>
    <col width="13" customWidth="1" style="29" min="8194" max="8194"/>
    <col width="31.85546875" customWidth="1" style="29" min="8195" max="8195"/>
    <col width="10" customWidth="1" style="29" min="8196" max="8197"/>
    <col width="14.42578125" customWidth="1" style="29" min="8198" max="8198"/>
    <col width="12.42578125" customWidth="1" style="29" min="8199" max="8199"/>
    <col width="10.5703125" bestFit="1" customWidth="1" style="29" min="8200" max="8200"/>
    <col width="12" customWidth="1" style="29" min="8201" max="8201"/>
    <col width="14" customWidth="1" style="29" min="8202" max="8202"/>
    <col width="10.42578125" customWidth="1" style="29" min="8203" max="8203"/>
    <col width="9.140625" customWidth="1" style="29" min="8204" max="8448"/>
    <col width="4.85546875" customWidth="1" style="29" min="8449" max="8449"/>
    <col width="13" customWidth="1" style="29" min="8450" max="8450"/>
    <col width="31.85546875" customWidth="1" style="29" min="8451" max="8451"/>
    <col width="10" customWidth="1" style="29" min="8452" max="8453"/>
    <col width="14.42578125" customWidth="1" style="29" min="8454" max="8454"/>
    <col width="12.42578125" customWidth="1" style="29" min="8455" max="8455"/>
    <col width="10.5703125" bestFit="1" customWidth="1" style="29" min="8456" max="8456"/>
    <col width="12" customWidth="1" style="29" min="8457" max="8457"/>
    <col width="14" customWidth="1" style="29" min="8458" max="8458"/>
    <col width="10.42578125" customWidth="1" style="29" min="8459" max="8459"/>
    <col width="9.140625" customWidth="1" style="29" min="8460" max="8704"/>
    <col width="4.85546875" customWidth="1" style="29" min="8705" max="8705"/>
    <col width="13" customWidth="1" style="29" min="8706" max="8706"/>
    <col width="31.85546875" customWidth="1" style="29" min="8707" max="8707"/>
    <col width="10" customWidth="1" style="29" min="8708" max="8709"/>
    <col width="14.42578125" customWidth="1" style="29" min="8710" max="8710"/>
    <col width="12.42578125" customWidth="1" style="29" min="8711" max="8711"/>
    <col width="10.5703125" bestFit="1" customWidth="1" style="29" min="8712" max="8712"/>
    <col width="12" customWidth="1" style="29" min="8713" max="8713"/>
    <col width="14" customWidth="1" style="29" min="8714" max="8714"/>
    <col width="10.42578125" customWidth="1" style="29" min="8715" max="8715"/>
    <col width="9.140625" customWidth="1" style="29" min="8716" max="8960"/>
    <col width="4.85546875" customWidth="1" style="29" min="8961" max="8961"/>
    <col width="13" customWidth="1" style="29" min="8962" max="8962"/>
    <col width="31.85546875" customWidth="1" style="29" min="8963" max="8963"/>
    <col width="10" customWidth="1" style="29" min="8964" max="8965"/>
    <col width="14.42578125" customWidth="1" style="29" min="8966" max="8966"/>
    <col width="12.42578125" customWidth="1" style="29" min="8967" max="8967"/>
    <col width="10.5703125" bestFit="1" customWidth="1" style="29" min="8968" max="8968"/>
    <col width="12" customWidth="1" style="29" min="8969" max="8969"/>
    <col width="14" customWidth="1" style="29" min="8970" max="8970"/>
    <col width="10.42578125" customWidth="1" style="29" min="8971" max="8971"/>
    <col width="9.140625" customWidth="1" style="29" min="8972" max="9216"/>
    <col width="4.85546875" customWidth="1" style="29" min="9217" max="9217"/>
    <col width="13" customWidth="1" style="29" min="9218" max="9218"/>
    <col width="31.85546875" customWidth="1" style="29" min="9219" max="9219"/>
    <col width="10" customWidth="1" style="29" min="9220" max="9221"/>
    <col width="14.42578125" customWidth="1" style="29" min="9222" max="9222"/>
    <col width="12.42578125" customWidth="1" style="29" min="9223" max="9223"/>
    <col width="10.5703125" bestFit="1" customWidth="1" style="29" min="9224" max="9224"/>
    <col width="12" customWidth="1" style="29" min="9225" max="9225"/>
    <col width="14" customWidth="1" style="29" min="9226" max="9226"/>
    <col width="10.42578125" customWidth="1" style="29" min="9227" max="9227"/>
    <col width="9.140625" customWidth="1" style="29" min="9228" max="9472"/>
    <col width="4.85546875" customWidth="1" style="29" min="9473" max="9473"/>
    <col width="13" customWidth="1" style="29" min="9474" max="9474"/>
    <col width="31.85546875" customWidth="1" style="29" min="9475" max="9475"/>
    <col width="10" customWidth="1" style="29" min="9476" max="9477"/>
    <col width="14.42578125" customWidth="1" style="29" min="9478" max="9478"/>
    <col width="12.42578125" customWidth="1" style="29" min="9479" max="9479"/>
    <col width="10.5703125" bestFit="1" customWidth="1" style="29" min="9480" max="9480"/>
    <col width="12" customWidth="1" style="29" min="9481" max="9481"/>
    <col width="14" customWidth="1" style="29" min="9482" max="9482"/>
    <col width="10.42578125" customWidth="1" style="29" min="9483" max="9483"/>
    <col width="9.140625" customWidth="1" style="29" min="9484" max="9728"/>
    <col width="4.85546875" customWidth="1" style="29" min="9729" max="9729"/>
    <col width="13" customWidth="1" style="29" min="9730" max="9730"/>
    <col width="31.85546875" customWidth="1" style="29" min="9731" max="9731"/>
    <col width="10" customWidth="1" style="29" min="9732" max="9733"/>
    <col width="14.42578125" customWidth="1" style="29" min="9734" max="9734"/>
    <col width="12.42578125" customWidth="1" style="29" min="9735" max="9735"/>
    <col width="10.5703125" bestFit="1" customWidth="1" style="29" min="9736" max="9736"/>
    <col width="12" customWidth="1" style="29" min="9737" max="9737"/>
    <col width="14" customWidth="1" style="29" min="9738" max="9738"/>
    <col width="10.42578125" customWidth="1" style="29" min="9739" max="9739"/>
    <col width="9.140625" customWidth="1" style="29" min="9740" max="9984"/>
    <col width="4.85546875" customWidth="1" style="29" min="9985" max="9985"/>
    <col width="13" customWidth="1" style="29" min="9986" max="9986"/>
    <col width="31.85546875" customWidth="1" style="29" min="9987" max="9987"/>
    <col width="10" customWidth="1" style="29" min="9988" max="9989"/>
    <col width="14.42578125" customWidth="1" style="29" min="9990" max="9990"/>
    <col width="12.42578125" customWidth="1" style="29" min="9991" max="9991"/>
    <col width="10.5703125" bestFit="1" customWidth="1" style="29" min="9992" max="9992"/>
    <col width="12" customWidth="1" style="29" min="9993" max="9993"/>
    <col width="14" customWidth="1" style="29" min="9994" max="9994"/>
    <col width="10.42578125" customWidth="1" style="29" min="9995" max="9995"/>
    <col width="9.140625" customWidth="1" style="29" min="9996" max="10240"/>
    <col width="4.85546875" customWidth="1" style="29" min="10241" max="10241"/>
    <col width="13" customWidth="1" style="29" min="10242" max="10242"/>
    <col width="31.85546875" customWidth="1" style="29" min="10243" max="10243"/>
    <col width="10" customWidth="1" style="29" min="10244" max="10245"/>
    <col width="14.42578125" customWidth="1" style="29" min="10246" max="10246"/>
    <col width="12.42578125" customWidth="1" style="29" min="10247" max="10247"/>
    <col width="10.5703125" bestFit="1" customWidth="1" style="29" min="10248" max="10248"/>
    <col width="12" customWidth="1" style="29" min="10249" max="10249"/>
    <col width="14" customWidth="1" style="29" min="10250" max="10250"/>
    <col width="10.42578125" customWidth="1" style="29" min="10251" max="10251"/>
    <col width="9.140625" customWidth="1" style="29" min="10252" max="10496"/>
    <col width="4.85546875" customWidth="1" style="29" min="10497" max="10497"/>
    <col width="13" customWidth="1" style="29" min="10498" max="10498"/>
    <col width="31.85546875" customWidth="1" style="29" min="10499" max="10499"/>
    <col width="10" customWidth="1" style="29" min="10500" max="10501"/>
    <col width="14.42578125" customWidth="1" style="29" min="10502" max="10502"/>
    <col width="12.42578125" customWidth="1" style="29" min="10503" max="10503"/>
    <col width="10.5703125" bestFit="1" customWidth="1" style="29" min="10504" max="10504"/>
    <col width="12" customWidth="1" style="29" min="10505" max="10505"/>
    <col width="14" customWidth="1" style="29" min="10506" max="10506"/>
    <col width="10.42578125" customWidth="1" style="29" min="10507" max="10507"/>
    <col width="9.140625" customWidth="1" style="29" min="10508" max="10752"/>
    <col width="4.85546875" customWidth="1" style="29" min="10753" max="10753"/>
    <col width="13" customWidth="1" style="29" min="10754" max="10754"/>
    <col width="31.85546875" customWidth="1" style="29" min="10755" max="10755"/>
    <col width="10" customWidth="1" style="29" min="10756" max="10757"/>
    <col width="14.42578125" customWidth="1" style="29" min="10758" max="10758"/>
    <col width="12.42578125" customWidth="1" style="29" min="10759" max="10759"/>
    <col width="10.5703125" bestFit="1" customWidth="1" style="29" min="10760" max="10760"/>
    <col width="12" customWidth="1" style="29" min="10761" max="10761"/>
    <col width="14" customWidth="1" style="29" min="10762" max="10762"/>
    <col width="10.42578125" customWidth="1" style="29" min="10763" max="10763"/>
    <col width="9.140625" customWidth="1" style="29" min="10764" max="11008"/>
    <col width="4.85546875" customWidth="1" style="29" min="11009" max="11009"/>
    <col width="13" customWidth="1" style="29" min="11010" max="11010"/>
    <col width="31.85546875" customWidth="1" style="29" min="11011" max="11011"/>
    <col width="10" customWidth="1" style="29" min="11012" max="11013"/>
    <col width="14.42578125" customWidth="1" style="29" min="11014" max="11014"/>
    <col width="12.42578125" customWidth="1" style="29" min="11015" max="11015"/>
    <col width="10.5703125" bestFit="1" customWidth="1" style="29" min="11016" max="11016"/>
    <col width="12" customWidth="1" style="29" min="11017" max="11017"/>
    <col width="14" customWidth="1" style="29" min="11018" max="11018"/>
    <col width="10.42578125" customWidth="1" style="29" min="11019" max="11019"/>
    <col width="9.140625" customWidth="1" style="29" min="11020" max="11264"/>
    <col width="4.85546875" customWidth="1" style="29" min="11265" max="11265"/>
    <col width="13" customWidth="1" style="29" min="11266" max="11266"/>
    <col width="31.85546875" customWidth="1" style="29" min="11267" max="11267"/>
    <col width="10" customWidth="1" style="29" min="11268" max="11269"/>
    <col width="14.42578125" customWidth="1" style="29" min="11270" max="11270"/>
    <col width="12.42578125" customWidth="1" style="29" min="11271" max="11271"/>
    <col width="10.5703125" bestFit="1" customWidth="1" style="29" min="11272" max="11272"/>
    <col width="12" customWidth="1" style="29" min="11273" max="11273"/>
    <col width="14" customWidth="1" style="29" min="11274" max="11274"/>
    <col width="10.42578125" customWidth="1" style="29" min="11275" max="11275"/>
    <col width="9.140625" customWidth="1" style="29" min="11276" max="11520"/>
    <col width="4.85546875" customWidth="1" style="29" min="11521" max="11521"/>
    <col width="13" customWidth="1" style="29" min="11522" max="11522"/>
    <col width="31.85546875" customWidth="1" style="29" min="11523" max="11523"/>
    <col width="10" customWidth="1" style="29" min="11524" max="11525"/>
    <col width="14.42578125" customWidth="1" style="29" min="11526" max="11526"/>
    <col width="12.42578125" customWidth="1" style="29" min="11527" max="11527"/>
    <col width="10.5703125" bestFit="1" customWidth="1" style="29" min="11528" max="11528"/>
    <col width="12" customWidth="1" style="29" min="11529" max="11529"/>
    <col width="14" customWidth="1" style="29" min="11530" max="11530"/>
    <col width="10.42578125" customWidth="1" style="29" min="11531" max="11531"/>
    <col width="9.140625" customWidth="1" style="29" min="11532" max="11776"/>
    <col width="4.85546875" customWidth="1" style="29" min="11777" max="11777"/>
    <col width="13" customWidth="1" style="29" min="11778" max="11778"/>
    <col width="31.85546875" customWidth="1" style="29" min="11779" max="11779"/>
    <col width="10" customWidth="1" style="29" min="11780" max="11781"/>
    <col width="14.42578125" customWidth="1" style="29" min="11782" max="11782"/>
    <col width="12.42578125" customWidth="1" style="29" min="11783" max="11783"/>
    <col width="10.5703125" bestFit="1" customWidth="1" style="29" min="11784" max="11784"/>
    <col width="12" customWidth="1" style="29" min="11785" max="11785"/>
    <col width="14" customWidth="1" style="29" min="11786" max="11786"/>
    <col width="10.42578125" customWidth="1" style="29" min="11787" max="11787"/>
    <col width="9.140625" customWidth="1" style="29" min="11788" max="12032"/>
    <col width="4.85546875" customWidth="1" style="29" min="12033" max="12033"/>
    <col width="13" customWidth="1" style="29" min="12034" max="12034"/>
    <col width="31.85546875" customWidth="1" style="29" min="12035" max="12035"/>
    <col width="10" customWidth="1" style="29" min="12036" max="12037"/>
    <col width="14.42578125" customWidth="1" style="29" min="12038" max="12038"/>
    <col width="12.42578125" customWidth="1" style="29" min="12039" max="12039"/>
    <col width="10.5703125" bestFit="1" customWidth="1" style="29" min="12040" max="12040"/>
    <col width="12" customWidth="1" style="29" min="12041" max="12041"/>
    <col width="14" customWidth="1" style="29" min="12042" max="12042"/>
    <col width="10.42578125" customWidth="1" style="29" min="12043" max="12043"/>
    <col width="9.140625" customWidth="1" style="29" min="12044" max="12288"/>
    <col width="4.85546875" customWidth="1" style="29" min="12289" max="12289"/>
    <col width="13" customWidth="1" style="29" min="12290" max="12290"/>
    <col width="31.85546875" customWidth="1" style="29" min="12291" max="12291"/>
    <col width="10" customWidth="1" style="29" min="12292" max="12293"/>
    <col width="14.42578125" customWidth="1" style="29" min="12294" max="12294"/>
    <col width="12.42578125" customWidth="1" style="29" min="12295" max="12295"/>
    <col width="10.5703125" bestFit="1" customWidth="1" style="29" min="12296" max="12296"/>
    <col width="12" customWidth="1" style="29" min="12297" max="12297"/>
    <col width="14" customWidth="1" style="29" min="12298" max="12298"/>
    <col width="10.42578125" customWidth="1" style="29" min="12299" max="12299"/>
    <col width="9.140625" customWidth="1" style="29" min="12300" max="12544"/>
    <col width="4.85546875" customWidth="1" style="29" min="12545" max="12545"/>
    <col width="13" customWidth="1" style="29" min="12546" max="12546"/>
    <col width="31.85546875" customWidth="1" style="29" min="12547" max="12547"/>
    <col width="10" customWidth="1" style="29" min="12548" max="12549"/>
    <col width="14.42578125" customWidth="1" style="29" min="12550" max="12550"/>
    <col width="12.42578125" customWidth="1" style="29" min="12551" max="12551"/>
    <col width="10.5703125" bestFit="1" customWidth="1" style="29" min="12552" max="12552"/>
    <col width="12" customWidth="1" style="29" min="12553" max="12553"/>
    <col width="14" customWidth="1" style="29" min="12554" max="12554"/>
    <col width="10.42578125" customWidth="1" style="29" min="12555" max="12555"/>
    <col width="9.140625" customWidth="1" style="29" min="12556" max="12800"/>
    <col width="4.85546875" customWidth="1" style="29" min="12801" max="12801"/>
    <col width="13" customWidth="1" style="29" min="12802" max="12802"/>
    <col width="31.85546875" customWidth="1" style="29" min="12803" max="12803"/>
    <col width="10" customWidth="1" style="29" min="12804" max="12805"/>
    <col width="14.42578125" customWidth="1" style="29" min="12806" max="12806"/>
    <col width="12.42578125" customWidth="1" style="29" min="12807" max="12807"/>
    <col width="10.5703125" bestFit="1" customWidth="1" style="29" min="12808" max="12808"/>
    <col width="12" customWidth="1" style="29" min="12809" max="12809"/>
    <col width="14" customWidth="1" style="29" min="12810" max="12810"/>
    <col width="10.42578125" customWidth="1" style="29" min="12811" max="12811"/>
    <col width="9.140625" customWidth="1" style="29" min="12812" max="13056"/>
    <col width="4.85546875" customWidth="1" style="29" min="13057" max="13057"/>
    <col width="13" customWidth="1" style="29" min="13058" max="13058"/>
    <col width="31.85546875" customWidth="1" style="29" min="13059" max="13059"/>
    <col width="10" customWidth="1" style="29" min="13060" max="13061"/>
    <col width="14.42578125" customWidth="1" style="29" min="13062" max="13062"/>
    <col width="12.42578125" customWidth="1" style="29" min="13063" max="13063"/>
    <col width="10.5703125" bestFit="1" customWidth="1" style="29" min="13064" max="13064"/>
    <col width="12" customWidth="1" style="29" min="13065" max="13065"/>
    <col width="14" customWidth="1" style="29" min="13066" max="13066"/>
    <col width="10.42578125" customWidth="1" style="29" min="13067" max="13067"/>
    <col width="9.140625" customWidth="1" style="29" min="13068" max="13312"/>
    <col width="4.85546875" customWidth="1" style="29" min="13313" max="13313"/>
    <col width="13" customWidth="1" style="29" min="13314" max="13314"/>
    <col width="31.85546875" customWidth="1" style="29" min="13315" max="13315"/>
    <col width="10" customWidth="1" style="29" min="13316" max="13317"/>
    <col width="14.42578125" customWidth="1" style="29" min="13318" max="13318"/>
    <col width="12.42578125" customWidth="1" style="29" min="13319" max="13319"/>
    <col width="10.5703125" bestFit="1" customWidth="1" style="29" min="13320" max="13320"/>
    <col width="12" customWidth="1" style="29" min="13321" max="13321"/>
    <col width="14" customWidth="1" style="29" min="13322" max="13322"/>
    <col width="10.42578125" customWidth="1" style="29" min="13323" max="13323"/>
    <col width="9.140625" customWidth="1" style="29" min="13324" max="13568"/>
    <col width="4.85546875" customWidth="1" style="29" min="13569" max="13569"/>
    <col width="13" customWidth="1" style="29" min="13570" max="13570"/>
    <col width="31.85546875" customWidth="1" style="29" min="13571" max="13571"/>
    <col width="10" customWidth="1" style="29" min="13572" max="13573"/>
    <col width="14.42578125" customWidth="1" style="29" min="13574" max="13574"/>
    <col width="12.42578125" customWidth="1" style="29" min="13575" max="13575"/>
    <col width="10.5703125" bestFit="1" customWidth="1" style="29" min="13576" max="13576"/>
    <col width="12" customWidth="1" style="29" min="13577" max="13577"/>
    <col width="14" customWidth="1" style="29" min="13578" max="13578"/>
    <col width="10.42578125" customWidth="1" style="29" min="13579" max="13579"/>
    <col width="9.140625" customWidth="1" style="29" min="13580" max="13824"/>
    <col width="4.85546875" customWidth="1" style="29" min="13825" max="13825"/>
    <col width="13" customWidth="1" style="29" min="13826" max="13826"/>
    <col width="31.85546875" customWidth="1" style="29" min="13827" max="13827"/>
    <col width="10" customWidth="1" style="29" min="13828" max="13829"/>
    <col width="14.42578125" customWidth="1" style="29" min="13830" max="13830"/>
    <col width="12.42578125" customWidth="1" style="29" min="13831" max="13831"/>
    <col width="10.5703125" bestFit="1" customWidth="1" style="29" min="13832" max="13832"/>
    <col width="12" customWidth="1" style="29" min="13833" max="13833"/>
    <col width="14" customWidth="1" style="29" min="13834" max="13834"/>
    <col width="10.42578125" customWidth="1" style="29" min="13835" max="13835"/>
    <col width="9.140625" customWidth="1" style="29" min="13836" max="14080"/>
    <col width="4.85546875" customWidth="1" style="29" min="14081" max="14081"/>
    <col width="13" customWidth="1" style="29" min="14082" max="14082"/>
    <col width="31.85546875" customWidth="1" style="29" min="14083" max="14083"/>
    <col width="10" customWidth="1" style="29" min="14084" max="14085"/>
    <col width="14.42578125" customWidth="1" style="29" min="14086" max="14086"/>
    <col width="12.42578125" customWidth="1" style="29" min="14087" max="14087"/>
    <col width="10.5703125" bestFit="1" customWidth="1" style="29" min="14088" max="14088"/>
    <col width="12" customWidth="1" style="29" min="14089" max="14089"/>
    <col width="14" customWidth="1" style="29" min="14090" max="14090"/>
    <col width="10.42578125" customWidth="1" style="29" min="14091" max="14091"/>
    <col width="9.140625" customWidth="1" style="29" min="14092" max="14336"/>
    <col width="4.85546875" customWidth="1" style="29" min="14337" max="14337"/>
    <col width="13" customWidth="1" style="29" min="14338" max="14338"/>
    <col width="31.85546875" customWidth="1" style="29" min="14339" max="14339"/>
    <col width="10" customWidth="1" style="29" min="14340" max="14341"/>
    <col width="14.42578125" customWidth="1" style="29" min="14342" max="14342"/>
    <col width="12.42578125" customWidth="1" style="29" min="14343" max="14343"/>
    <col width="10.5703125" bestFit="1" customWidth="1" style="29" min="14344" max="14344"/>
    <col width="12" customWidth="1" style="29" min="14345" max="14345"/>
    <col width="14" customWidth="1" style="29" min="14346" max="14346"/>
    <col width="10.42578125" customWidth="1" style="29" min="14347" max="14347"/>
    <col width="9.140625" customWidth="1" style="29" min="14348" max="14592"/>
    <col width="4.85546875" customWidth="1" style="29" min="14593" max="14593"/>
    <col width="13" customWidth="1" style="29" min="14594" max="14594"/>
    <col width="31.85546875" customWidth="1" style="29" min="14595" max="14595"/>
    <col width="10" customWidth="1" style="29" min="14596" max="14597"/>
    <col width="14.42578125" customWidth="1" style="29" min="14598" max="14598"/>
    <col width="12.42578125" customWidth="1" style="29" min="14599" max="14599"/>
    <col width="10.5703125" bestFit="1" customWidth="1" style="29" min="14600" max="14600"/>
    <col width="12" customWidth="1" style="29" min="14601" max="14601"/>
    <col width="14" customWidth="1" style="29" min="14602" max="14602"/>
    <col width="10.42578125" customWidth="1" style="29" min="14603" max="14603"/>
    <col width="9.140625" customWidth="1" style="29" min="14604" max="14848"/>
    <col width="4.85546875" customWidth="1" style="29" min="14849" max="14849"/>
    <col width="13" customWidth="1" style="29" min="14850" max="14850"/>
    <col width="31.85546875" customWidth="1" style="29" min="14851" max="14851"/>
    <col width="10" customWidth="1" style="29" min="14852" max="14853"/>
    <col width="14.42578125" customWidth="1" style="29" min="14854" max="14854"/>
    <col width="12.42578125" customWidth="1" style="29" min="14855" max="14855"/>
    <col width="10.5703125" bestFit="1" customWidth="1" style="29" min="14856" max="14856"/>
    <col width="12" customWidth="1" style="29" min="14857" max="14857"/>
    <col width="14" customWidth="1" style="29" min="14858" max="14858"/>
    <col width="10.42578125" customWidth="1" style="29" min="14859" max="14859"/>
    <col width="9.140625" customWidth="1" style="29" min="14860" max="15104"/>
    <col width="4.85546875" customWidth="1" style="29" min="15105" max="15105"/>
    <col width="13" customWidth="1" style="29" min="15106" max="15106"/>
    <col width="31.85546875" customWidth="1" style="29" min="15107" max="15107"/>
    <col width="10" customWidth="1" style="29" min="15108" max="15109"/>
    <col width="14.42578125" customWidth="1" style="29" min="15110" max="15110"/>
    <col width="12.42578125" customWidth="1" style="29" min="15111" max="15111"/>
    <col width="10.5703125" bestFit="1" customWidth="1" style="29" min="15112" max="15112"/>
    <col width="12" customWidth="1" style="29" min="15113" max="15113"/>
    <col width="14" customWidth="1" style="29" min="15114" max="15114"/>
    <col width="10.42578125" customWidth="1" style="29" min="15115" max="15115"/>
    <col width="9.140625" customWidth="1" style="29" min="15116" max="15360"/>
    <col width="4.85546875" customWidth="1" style="29" min="15361" max="15361"/>
    <col width="13" customWidth="1" style="29" min="15362" max="15362"/>
    <col width="31.85546875" customWidth="1" style="29" min="15363" max="15363"/>
    <col width="10" customWidth="1" style="29" min="15364" max="15365"/>
    <col width="14.42578125" customWidth="1" style="29" min="15366" max="15366"/>
    <col width="12.42578125" customWidth="1" style="29" min="15367" max="15367"/>
    <col width="10.5703125" bestFit="1" customWidth="1" style="29" min="15368" max="15368"/>
    <col width="12" customWidth="1" style="29" min="15369" max="15369"/>
    <col width="14" customWidth="1" style="29" min="15370" max="15370"/>
    <col width="10.42578125" customWidth="1" style="29" min="15371" max="15371"/>
    <col width="9.140625" customWidth="1" style="29" min="15372" max="15616"/>
    <col width="4.85546875" customWidth="1" style="29" min="15617" max="15617"/>
    <col width="13" customWidth="1" style="29" min="15618" max="15618"/>
    <col width="31.85546875" customWidth="1" style="29" min="15619" max="15619"/>
    <col width="10" customWidth="1" style="29" min="15620" max="15621"/>
    <col width="14.42578125" customWidth="1" style="29" min="15622" max="15622"/>
    <col width="12.42578125" customWidth="1" style="29" min="15623" max="15623"/>
    <col width="10.5703125" bestFit="1" customWidth="1" style="29" min="15624" max="15624"/>
    <col width="12" customWidth="1" style="29" min="15625" max="15625"/>
    <col width="14" customWidth="1" style="29" min="15626" max="15626"/>
    <col width="10.42578125" customWidth="1" style="29" min="15627" max="15627"/>
    <col width="9.140625" customWidth="1" style="29" min="15628" max="15872"/>
    <col width="4.85546875" customWidth="1" style="29" min="15873" max="15873"/>
    <col width="13" customWidth="1" style="29" min="15874" max="15874"/>
    <col width="31.85546875" customWidth="1" style="29" min="15875" max="15875"/>
    <col width="10" customWidth="1" style="29" min="15876" max="15877"/>
    <col width="14.42578125" customWidth="1" style="29" min="15878" max="15878"/>
    <col width="12.42578125" customWidth="1" style="29" min="15879" max="15879"/>
    <col width="10.5703125" bestFit="1" customWidth="1" style="29" min="15880" max="15880"/>
    <col width="12" customWidth="1" style="29" min="15881" max="15881"/>
    <col width="14" customWidth="1" style="29" min="15882" max="15882"/>
    <col width="10.42578125" customWidth="1" style="29" min="15883" max="15883"/>
    <col width="9.140625" customWidth="1" style="29" min="15884" max="16128"/>
    <col width="4.85546875" customWidth="1" style="29" min="16129" max="16129"/>
    <col width="13" customWidth="1" style="29" min="16130" max="16130"/>
    <col width="31.85546875" customWidth="1" style="29" min="16131" max="16131"/>
    <col width="10" customWidth="1" style="29" min="16132" max="16133"/>
    <col width="14.42578125" customWidth="1" style="29" min="16134" max="16134"/>
    <col width="12.42578125" customWidth="1" style="29" min="16135" max="16135"/>
    <col width="10.5703125" bestFit="1" customWidth="1" style="29" min="16136" max="16136"/>
    <col width="12" customWidth="1" style="29" min="16137" max="16137"/>
    <col width="14" customWidth="1" style="29" min="16138" max="16138"/>
    <col width="10.42578125" customWidth="1" style="29" min="16139" max="16139"/>
    <col width="9.140625" customWidth="1" style="29" min="16140" max="16384"/>
  </cols>
  <sheetData>
    <row r="1" ht="20.25" customHeight="1">
      <c r="A1" s="55" t="n"/>
      <c r="B1" s="55" t="n"/>
      <c r="C1" s="386" t="n"/>
      <c r="D1" s="386" t="n"/>
      <c r="E1" s="55" t="n"/>
      <c r="F1" s="55" t="n"/>
      <c r="G1" s="55" t="n"/>
      <c r="H1" s="55" t="n"/>
      <c r="J1" s="27" t="inlineStr">
        <is>
          <t>แบบ ปร.4(ข)</t>
        </is>
      </c>
      <c r="K1" s="90" t="n"/>
      <c r="L1" s="90" t="n"/>
      <c r="M1" s="30" t="n"/>
      <c r="N1" s="30" t="n"/>
      <c r="O1" s="30" t="n"/>
      <c r="P1" s="30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29" t="n"/>
      <c r="AI1" s="29" t="n"/>
      <c r="AJ1" s="29" t="n"/>
      <c r="AK1" s="29" t="n"/>
      <c r="AL1" s="29" t="n"/>
      <c r="AM1" s="29" t="n"/>
      <c r="AN1" s="29" t="n"/>
      <c r="AO1" s="29" t="n"/>
    </row>
    <row r="2">
      <c r="A2" s="386" t="inlineStr">
        <is>
          <t>รายการปริมาณงานและราคา</t>
        </is>
      </c>
      <c r="K2" s="90" t="n"/>
      <c r="L2" s="90" t="n"/>
      <c r="M2" s="30" t="n"/>
      <c r="N2" s="30" t="n"/>
      <c r="O2" s="30" t="n"/>
      <c r="P2" s="30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  <c r="AA2" s="29" t="n"/>
      <c r="AB2" s="29" t="n"/>
      <c r="AC2" s="29" t="n"/>
      <c r="AD2" s="29" t="n"/>
      <c r="AE2" s="29" t="n"/>
      <c r="AF2" s="29" t="n"/>
      <c r="AG2" s="29" t="n"/>
      <c r="AH2" s="29" t="n"/>
      <c r="AI2" s="29" t="n"/>
      <c r="AJ2" s="29" t="n"/>
      <c r="AK2" s="29" t="n"/>
      <c r="AL2" s="29" t="n"/>
      <c r="AM2" s="29" t="n"/>
      <c r="AN2" s="29" t="n"/>
      <c r="AO2" s="29" t="n"/>
    </row>
    <row r="3">
      <c r="A3" s="400" t="inlineStr">
        <is>
          <t xml:space="preserve">งานก่อสร้าง  </t>
        </is>
      </c>
      <c r="K3" s="29" t="n"/>
      <c r="L3" s="29" t="n"/>
      <c r="M3" s="30" t="n"/>
      <c r="N3" s="30" t="n"/>
      <c r="O3" s="30" t="n"/>
      <c r="P3" s="30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29" t="n"/>
      <c r="AF3" s="29" t="n"/>
      <c r="AG3" s="29" t="n"/>
      <c r="AH3" s="29" t="n"/>
      <c r="AI3" s="29" t="n"/>
      <c r="AJ3" s="29" t="n"/>
      <c r="AK3" s="29" t="n"/>
      <c r="AL3" s="29" t="n"/>
      <c r="AM3" s="29" t="n"/>
      <c r="AN3" s="29" t="n"/>
      <c r="AO3" s="29" t="n"/>
    </row>
    <row r="4" ht="24.75" customHeight="1">
      <c r="A4" s="55" t="inlineStr">
        <is>
          <t xml:space="preserve">สถานที่ก่อสร้าง           </t>
        </is>
      </c>
      <c r="B4" s="232" t="n"/>
      <c r="C4" s="232" t="n"/>
      <c r="D4" s="232" t="n"/>
      <c r="E4" s="232" t="n"/>
      <c r="G4" s="387" t="inlineStr">
        <is>
          <t xml:space="preserve">จังหวัด          </t>
        </is>
      </c>
      <c r="K4" s="29" t="n"/>
      <c r="L4" s="29" t="n"/>
      <c r="M4" s="30" t="n"/>
      <c r="N4" s="30" t="n"/>
      <c r="O4" s="30" t="n"/>
      <c r="P4" s="30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  <c r="AA4" s="29" t="n"/>
      <c r="AB4" s="29" t="n"/>
      <c r="AC4" s="29" t="n"/>
      <c r="AD4" s="29" t="n"/>
      <c r="AE4" s="29" t="n"/>
      <c r="AF4" s="29" t="n"/>
      <c r="AG4" s="29" t="n"/>
      <c r="AH4" s="29" t="n"/>
      <c r="AI4" s="29" t="n"/>
      <c r="AJ4" s="29" t="n"/>
      <c r="AK4" s="29" t="n"/>
      <c r="AL4" s="29" t="n"/>
      <c r="AM4" s="29" t="n"/>
      <c r="AN4" s="29" t="n"/>
      <c r="AO4" s="29" t="n"/>
    </row>
    <row r="5" ht="25.5" customFormat="1" customHeight="1" s="291">
      <c r="A5" s="405" t="inlineStr">
        <is>
          <t>เลขที่</t>
        </is>
      </c>
      <c r="B5" s="407" t="inlineStr">
        <is>
          <t>รายการ</t>
        </is>
      </c>
      <c r="C5" s="544" t="n"/>
      <c r="D5" s="401" t="inlineStr">
        <is>
          <t>จำนวน</t>
        </is>
      </c>
      <c r="E5" s="401" t="inlineStr">
        <is>
          <t>หน่วย</t>
        </is>
      </c>
      <c r="F5" s="403" t="inlineStr">
        <is>
          <t>ค่าวัสดุสิ่งของ</t>
        </is>
      </c>
      <c r="G5" s="566" t="n"/>
      <c r="H5" s="403" t="inlineStr">
        <is>
          <t>ค่าแรงงาน</t>
        </is>
      </c>
      <c r="I5" s="566" t="n"/>
      <c r="J5" s="401" t="inlineStr">
        <is>
          <t>รวมเป็นเงิน</t>
        </is>
      </c>
    </row>
    <row r="6" ht="25.5" customFormat="1" customHeight="1" s="291">
      <c r="A6" s="637" t="n"/>
      <c r="B6" s="638" t="n"/>
      <c r="D6" s="637" t="n"/>
      <c r="E6" s="637" t="n"/>
      <c r="F6" s="410" t="inlineStr">
        <is>
          <t>ราคา</t>
        </is>
      </c>
      <c r="G6" s="409" t="inlineStr">
        <is>
          <t>จำนวนเงิน</t>
        </is>
      </c>
      <c r="H6" s="402" t="inlineStr">
        <is>
          <t>ราคา</t>
        </is>
      </c>
      <c r="I6" s="402" t="inlineStr">
        <is>
          <t>จำนวนเงิน</t>
        </is>
      </c>
      <c r="J6" s="637" t="n"/>
    </row>
    <row r="7" ht="25.5" customFormat="1" customHeight="1" s="29">
      <c r="A7" s="35" t="n"/>
      <c r="B7" s="36" t="inlineStr">
        <is>
          <t>หมวดงานครุภัณฑ์</t>
        </is>
      </c>
      <c r="C7" s="37" t="n"/>
      <c r="D7" s="38" t="n"/>
      <c r="E7" s="39" t="n"/>
      <c r="F7" s="639" t="n"/>
      <c r="G7" s="640" t="n"/>
      <c r="H7" s="641" t="n"/>
      <c r="I7" s="642" t="n"/>
      <c r="J7" s="643" t="n"/>
    </row>
    <row r="8" ht="25.5" customFormat="1" customHeight="1" s="29">
      <c r="A8" s="45" t="n">
        <v>1</v>
      </c>
      <c r="B8" s="46" t="inlineStr">
        <is>
          <t xml:space="preserve"> งานครุภัณฑ์สร้างกับที่</t>
        </is>
      </c>
      <c r="C8" s="47" t="n"/>
      <c r="D8" s="48" t="n"/>
      <c r="E8" s="48" t="n"/>
      <c r="F8" s="644" t="n"/>
      <c r="G8" s="644">
        <f>D8*F8</f>
        <v/>
      </c>
      <c r="H8" s="644" t="n"/>
      <c r="I8" s="644">
        <f>D8*H8</f>
        <v/>
      </c>
      <c r="J8" s="644">
        <f>G8+I8</f>
        <v/>
      </c>
      <c r="K8" s="645" t="n"/>
    </row>
    <row r="9" ht="24" customFormat="1" customHeight="1" s="55">
      <c r="A9" s="51" t="n"/>
      <c r="B9" s="52" t="inlineStr">
        <is>
          <t xml:space="preserve"> - กระดานดำขนาด 1.20 x 7.20 ม.</t>
        </is>
      </c>
      <c r="C9" s="47" t="n"/>
      <c r="D9" s="53" t="n"/>
      <c r="E9" s="48" t="inlineStr">
        <is>
          <t>ชุด</t>
        </is>
      </c>
      <c r="F9" s="646" t="n"/>
      <c r="G9" s="646">
        <f>D9*F9</f>
        <v/>
      </c>
      <c r="H9" s="646" t="n"/>
      <c r="I9" s="646">
        <f>D9*H9</f>
        <v/>
      </c>
      <c r="J9" s="646">
        <f>G9+I9</f>
        <v/>
      </c>
    </row>
    <row r="10" ht="24" customFormat="1" customHeight="1" s="55">
      <c r="A10" s="51" t="n"/>
      <c r="B10" s="56" t="n"/>
      <c r="C10" s="647" t="n"/>
      <c r="D10" s="56" t="n"/>
      <c r="E10" s="56" t="n"/>
      <c r="F10" s="648" t="n"/>
      <c r="G10" s="648">
        <f>D10*F10</f>
        <v/>
      </c>
      <c r="H10" s="646" t="n"/>
      <c r="I10" s="646">
        <f>D10*H10</f>
        <v/>
      </c>
      <c r="J10" s="648">
        <f>G10+I10</f>
        <v/>
      </c>
    </row>
    <row r="11" ht="24" customFormat="1" customHeight="1" s="55">
      <c r="A11" s="58" t="n">
        <v>2</v>
      </c>
      <c r="B11" s="59" t="inlineStr">
        <is>
          <t xml:space="preserve"> งานครุภัณฑ์สั่งซื้อ</t>
        </is>
      </c>
      <c r="C11" s="60" t="n"/>
      <c r="D11" s="56" t="n"/>
      <c r="E11" s="48" t="n"/>
      <c r="F11" s="648" t="n"/>
      <c r="G11" s="648">
        <f>D11*F11</f>
        <v/>
      </c>
      <c r="H11" s="646" t="n"/>
      <c r="I11" s="646">
        <f>D11*H11</f>
        <v/>
      </c>
      <c r="J11" s="648">
        <f>G11+I11</f>
        <v/>
      </c>
    </row>
    <row r="12" ht="24" customFormat="1" customHeight="1" s="55">
      <c r="A12" s="58" t="n"/>
      <c r="B12" s="61" t="inlineStr">
        <is>
          <t xml:space="preserve"> - โต๊ะและเก้าอี้คุณครู ( ตามแบบ )</t>
        </is>
      </c>
      <c r="C12" s="60" t="n"/>
      <c r="D12" s="53" t="n"/>
      <c r="E12" s="48" t="inlineStr">
        <is>
          <t>ชุด</t>
        </is>
      </c>
      <c r="F12" s="646" t="n"/>
      <c r="G12" s="648">
        <f>D12*F12</f>
        <v/>
      </c>
      <c r="H12" s="646" t="n"/>
      <c r="I12" s="646">
        <f>D12*H12</f>
        <v/>
      </c>
      <c r="J12" s="648">
        <f>G12+I12</f>
        <v/>
      </c>
    </row>
    <row r="13" ht="24" customFormat="1" customHeight="1" s="55">
      <c r="A13" s="58" t="n"/>
      <c r="B13" s="61" t="inlineStr">
        <is>
          <t xml:space="preserve"> - โต๊ะและเก้าอี้นักเรียนมัธยมศึกษา ( ตามแบบ )</t>
        </is>
      </c>
      <c r="C13" s="60" t="n"/>
      <c r="D13" s="62" t="n"/>
      <c r="E13" s="48" t="inlineStr">
        <is>
          <t>ชุด</t>
        </is>
      </c>
      <c r="F13" s="649" t="n"/>
      <c r="G13" s="648">
        <f>D13*F13</f>
        <v/>
      </c>
      <c r="H13" s="646" t="n"/>
      <c r="I13" s="646">
        <f>D13*H13</f>
        <v/>
      </c>
      <c r="J13" s="648">
        <f>G13+I13</f>
        <v/>
      </c>
    </row>
    <row r="14" ht="24" customFormat="1" customHeight="1" s="55">
      <c r="A14" s="58" t="n"/>
      <c r="B14" s="61" t="n"/>
      <c r="C14" s="60" t="n"/>
      <c r="D14" s="64" t="n"/>
      <c r="E14" s="650" t="n"/>
      <c r="F14" s="649" t="n"/>
      <c r="G14" s="651">
        <f>D14*F14</f>
        <v/>
      </c>
      <c r="H14" s="652" t="n"/>
      <c r="I14" s="651">
        <f>D14*H14</f>
        <v/>
      </c>
      <c r="J14" s="653">
        <f>G14+I14</f>
        <v/>
      </c>
    </row>
    <row r="15" ht="24" customFormat="1" customHeight="1" s="55">
      <c r="A15" s="58" t="n"/>
      <c r="B15" s="61" t="n"/>
      <c r="C15" s="60" t="n"/>
      <c r="D15" s="64" t="n"/>
      <c r="E15" s="650" t="n"/>
      <c r="F15" s="649" t="n"/>
      <c r="G15" s="651">
        <f>D15*F15</f>
        <v/>
      </c>
      <c r="H15" s="652" t="n"/>
      <c r="I15" s="651">
        <f>D15*H15</f>
        <v/>
      </c>
      <c r="J15" s="653">
        <f>G15+I15</f>
        <v/>
      </c>
    </row>
    <row r="16" ht="24" customFormat="1" customHeight="1" s="55">
      <c r="A16" s="69" t="n"/>
      <c r="B16" s="70" t="n"/>
      <c r="C16" s="71" t="n"/>
      <c r="D16" s="72" t="n"/>
      <c r="E16" s="654" t="n"/>
      <c r="F16" s="655" t="n"/>
      <c r="G16" s="651">
        <f>D16*F16</f>
        <v/>
      </c>
      <c r="H16" s="656" t="n"/>
      <c r="I16" s="651">
        <f>D16*H16</f>
        <v/>
      </c>
      <c r="J16" s="653">
        <f>G16+I16</f>
        <v/>
      </c>
    </row>
    <row r="17" ht="25.5" customFormat="1" customHeight="1" s="55">
      <c r="A17" s="403" t="inlineStr">
        <is>
          <t>รวมราคาค่าแรงและค่าวัสดุ หมวดงาน 1 และ 2</t>
        </is>
      </c>
      <c r="B17" s="588" t="n"/>
      <c r="C17" s="588" t="n"/>
      <c r="D17" s="588" t="n"/>
      <c r="E17" s="588" t="n"/>
      <c r="F17" s="566" t="n"/>
      <c r="G17" s="657">
        <f>SUM(G8:G16)</f>
        <v/>
      </c>
      <c r="H17" s="657">
        <f>SUM(H8:H16)</f>
        <v/>
      </c>
      <c r="I17" s="657">
        <f>SUM(I8:I16)</f>
        <v/>
      </c>
      <c r="J17" s="657">
        <f>SUM(J8:J16)</f>
        <v/>
      </c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  <c r="Z17" s="55" t="n"/>
      <c r="AA17" s="55" t="n"/>
      <c r="AB17" s="55" t="n"/>
      <c r="AC17" s="55" t="n"/>
      <c r="AD17" s="55" t="n"/>
      <c r="AE17" s="55" t="n"/>
      <c r="AF17" s="55" t="n"/>
      <c r="AG17" s="55" t="n"/>
      <c r="AH17" s="55" t="n"/>
      <c r="AI17" s="55" t="n"/>
      <c r="AJ17" s="55" t="n"/>
      <c r="AK17" s="55" t="n"/>
      <c r="AL17" s="55" t="n"/>
      <c r="AM17" s="55" t="n"/>
      <c r="AN17" s="55" t="n"/>
      <c r="AO17" s="55" t="n"/>
    </row>
    <row r="18" hidden="1" ht="25.5" customHeight="1">
      <c r="A18" s="404" t="inlineStr">
        <is>
          <t>รวมราคาค่าแรงและค่าวัสดุงานครุภัณฑ์</t>
        </is>
      </c>
      <c r="B18" s="588" t="n"/>
      <c r="C18" s="588" t="n"/>
      <c r="D18" s="588" t="n"/>
      <c r="E18" s="588" t="n"/>
      <c r="F18" s="566" t="n"/>
      <c r="G18" s="658">
        <f>G17</f>
        <v/>
      </c>
      <c r="H18" s="658">
        <f>H17</f>
        <v/>
      </c>
      <c r="I18" s="658">
        <f>I17</f>
        <v/>
      </c>
      <c r="J18" s="658">
        <f>J17</f>
        <v/>
      </c>
    </row>
    <row r="19" ht="25.5" customHeight="1">
      <c r="A19" s="29" t="n"/>
      <c r="B19" s="34" t="n"/>
      <c r="C19" s="34" t="n"/>
      <c r="D19" s="182" t="n"/>
      <c r="E19" s="184" t="n"/>
      <c r="F19" s="659" t="n"/>
      <c r="G19" s="29" t="n"/>
      <c r="H19" s="29" t="n"/>
      <c r="I19" s="660" t="n"/>
      <c r="J19" s="29" t="n"/>
    </row>
    <row r="20" ht="25.5" customFormat="1" customHeight="1" s="29">
      <c r="B20" s="34" t="n"/>
      <c r="C20" s="80" t="n"/>
      <c r="D20" s="661" t="n"/>
      <c r="F20" s="662" t="n"/>
      <c r="G20" s="663" t="n"/>
      <c r="H20" s="664" t="n"/>
      <c r="I20" s="665" t="n"/>
      <c r="J20" s="666" t="n"/>
    </row>
    <row r="21" ht="25.5" customFormat="1" customHeight="1" s="29">
      <c r="B21" s="34" t="n"/>
      <c r="C21" s="80" t="n"/>
      <c r="D21" s="661" t="n"/>
      <c r="E21" s="87" t="n"/>
      <c r="F21" s="87" t="n"/>
      <c r="G21" s="663" t="n"/>
      <c r="H21" s="664" t="n"/>
      <c r="I21" s="665" t="n"/>
      <c r="J21" s="666" t="n"/>
    </row>
    <row r="22" ht="21" customFormat="1" customHeight="1" s="29">
      <c r="B22" s="34" t="n"/>
      <c r="C22" s="80" t="n"/>
      <c r="D22" s="661" t="n"/>
      <c r="E22" s="87" t="n"/>
      <c r="F22" s="662" t="n"/>
      <c r="G22" s="663" t="n"/>
      <c r="H22" s="664" t="n"/>
      <c r="I22" s="665" t="n"/>
      <c r="J22" s="666" t="n"/>
    </row>
    <row r="23" ht="21" customFormat="1" customHeight="1" s="29">
      <c r="B23" s="34" t="n"/>
      <c r="C23" s="80" t="n"/>
      <c r="D23" s="661" t="n"/>
      <c r="E23" s="87" t="n"/>
      <c r="F23" s="662" t="n"/>
      <c r="G23" s="663" t="n"/>
      <c r="H23" s="664" t="n"/>
      <c r="I23" s="665" t="n"/>
      <c r="J23" s="666" t="n"/>
    </row>
    <row r="24" ht="25.5" customFormat="1" customHeight="1" s="29"/>
    <row r="25" ht="25.5" customFormat="1" customHeight="1" s="29"/>
    <row r="26" ht="25.5" customFormat="1" customHeight="1" s="29">
      <c r="J26" s="89" t="n"/>
    </row>
    <row r="27" ht="25.5" customFormat="1" customHeight="1" s="29"/>
    <row r="28" ht="25.5" customFormat="1" customHeight="1" s="29"/>
    <row r="29" ht="25.5" customFormat="1" customHeight="1" s="29"/>
    <row r="30" ht="25.5" customFormat="1" customHeight="1" s="29"/>
    <row r="31" ht="25.5" customFormat="1" customHeight="1" s="29"/>
    <row r="32" ht="25.5" customFormat="1" customHeight="1" s="29"/>
    <row r="33" ht="25.5" customFormat="1" customHeight="1" s="29"/>
    <row r="34" ht="25.5" customFormat="1" customHeight="1" s="29"/>
    <row r="35" ht="25.5" customFormat="1" customHeight="1" s="29"/>
    <row r="36" ht="25.5" customFormat="1" customHeight="1" s="29"/>
    <row r="37" ht="25.5" customFormat="1" customHeight="1" s="29"/>
    <row r="38" ht="25.5" customFormat="1" customHeight="1" s="29"/>
    <row r="39" ht="25.5" customFormat="1" customHeight="1" s="29"/>
    <row r="40" ht="25.5" customFormat="1" customHeight="1" s="29"/>
    <row r="41" ht="25.5" customFormat="1" customHeight="1" s="29"/>
    <row r="42" ht="25.5" customFormat="1" customHeight="1" s="29"/>
    <row r="43" ht="25.5" customFormat="1" customHeight="1" s="29"/>
    <row r="44" ht="25.5" customFormat="1" customHeight="1" s="29"/>
    <row r="45" ht="25.5" customFormat="1" customHeight="1" s="29"/>
  </sheetData>
  <mergeCells count="13">
    <mergeCell ref="A5:A6"/>
    <mergeCell ref="G4:H4"/>
    <mergeCell ref="E5:E6"/>
    <mergeCell ref="J5:J6"/>
    <mergeCell ref="F5:G5"/>
    <mergeCell ref="B5:C6"/>
    <mergeCell ref="B10:C10"/>
    <mergeCell ref="A3:J3"/>
    <mergeCell ref="H5:I5"/>
    <mergeCell ref="A17:F17"/>
    <mergeCell ref="A18:F18"/>
    <mergeCell ref="A2:J2"/>
    <mergeCell ref="D5:D6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9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view="pageBreakPreview" topLeftCell="A16" zoomScaleNormal="100" zoomScaleSheetLayoutView="100" workbookViewId="0">
      <selection activeCell="A29" sqref="A29:F32"/>
    </sheetView>
  </sheetViews>
  <sheetFormatPr baseColWidth="8" defaultColWidth="9.140625" defaultRowHeight="24"/>
  <cols>
    <col width="8.7109375" customWidth="1" style="260" min="1" max="1"/>
    <col width="24.42578125" customWidth="1" style="260" min="2" max="2"/>
    <col width="12.85546875" customWidth="1" style="260" min="3" max="3"/>
    <col width="20.42578125" customWidth="1" style="260" min="4" max="4"/>
    <col width="11.42578125" customWidth="1" style="260" min="5" max="5"/>
    <col width="19.7109375" customWidth="1" style="260" min="6" max="6"/>
    <col width="22.85546875" customWidth="1" style="260" min="7" max="7"/>
    <col width="20" customWidth="1" style="260" min="8" max="8"/>
    <col width="9.42578125" bestFit="1" customWidth="1" style="260" min="9" max="9"/>
    <col width="14.140625" bestFit="1" customWidth="1" style="260" min="10" max="10"/>
    <col width="9.140625" customWidth="1" style="260" min="11" max="11"/>
    <col width="10.140625" bestFit="1" customWidth="1" style="260" min="12" max="12"/>
    <col width="9.140625" customWidth="1" style="260" min="13" max="16384"/>
  </cols>
  <sheetData>
    <row r="1" ht="20.25" customHeight="1">
      <c r="G1" s="207" t="inlineStr">
        <is>
          <t>ปร.5 (ก)</t>
        </is>
      </c>
    </row>
    <row r="2" ht="22.5" customHeight="1">
      <c r="A2" s="421" t="inlineStr">
        <is>
          <t>สรุปค่าก่อสร้าง</t>
        </is>
      </c>
    </row>
    <row r="3" ht="23.25" customHeight="1">
      <c r="A3" s="238" t="inlineStr">
        <is>
          <t xml:space="preserve">งานก่อสร้าง  </t>
        </is>
      </c>
      <c r="B3" s="229" t="n"/>
      <c r="C3" s="230" t="n"/>
      <c r="D3" s="231" t="n"/>
      <c r="E3" s="231" t="n"/>
      <c r="F3" s="229" t="n"/>
      <c r="G3" s="229" t="n"/>
    </row>
    <row r="4" ht="23.25" customHeight="1">
      <c r="A4" s="55" t="inlineStr">
        <is>
          <t xml:space="preserve">สถานที่ก่อสร้าง           </t>
        </is>
      </c>
      <c r="B4" s="232" t="n"/>
      <c r="C4" s="232" t="n"/>
      <c r="D4" s="232" t="n"/>
      <c r="E4" s="232" t="inlineStr">
        <is>
          <t xml:space="preserve">จังหวัด   </t>
        </is>
      </c>
      <c r="F4" s="229" t="n"/>
      <c r="G4" s="229" t="n"/>
    </row>
    <row r="5" ht="23.25" customHeight="1">
      <c r="A5" s="233" t="inlineStr">
        <is>
          <t>หน่วยงาน</t>
        </is>
      </c>
      <c r="B5" s="241" t="inlineStr">
        <is>
          <t xml:space="preserve"> </t>
        </is>
      </c>
      <c r="C5" s="241" t="n"/>
      <c r="D5" s="241" t="n"/>
      <c r="E5" s="241" t="n"/>
      <c r="F5" s="241" t="n"/>
      <c r="G5" s="229" t="n"/>
    </row>
    <row r="6" ht="23.25" customHeight="1">
      <c r="A6" s="229" t="inlineStr">
        <is>
          <t>แบบ ปร.4 (ก) ที่แนบ</t>
        </is>
      </c>
      <c r="B6" s="229" t="n"/>
      <c r="C6" s="387" t="n"/>
      <c r="D6" s="232" t="n"/>
      <c r="F6" s="260" t="inlineStr">
        <is>
          <t>จำนวน            แผ่น</t>
        </is>
      </c>
      <c r="G6" s="229" t="n"/>
    </row>
    <row r="7" ht="23.25" customHeight="1">
      <c r="A7" s="235" t="inlineStr">
        <is>
          <t xml:space="preserve">ประมาณการราคาเมื่อวันที่       </t>
        </is>
      </c>
      <c r="B7" s="231" t="n"/>
      <c r="C7" s="229" t="n"/>
      <c r="D7" s="229" t="n"/>
      <c r="F7" s="260" t="inlineStr">
        <is>
          <t xml:space="preserve">ปรับราคาเมื่อวันที่  </t>
        </is>
      </c>
      <c r="G7" s="236" t="n"/>
    </row>
    <row r="8" ht="21.75" customHeight="1">
      <c r="A8" s="208" t="inlineStr">
        <is>
          <t>ลำดับที่</t>
        </is>
      </c>
      <c r="B8" s="667" t="inlineStr">
        <is>
          <t>รายการ</t>
        </is>
      </c>
      <c r="C8" s="557" t="n"/>
      <c r="D8" s="208" t="inlineStr">
        <is>
          <t>ค่างานต้นทุน</t>
        </is>
      </c>
      <c r="E8" s="208" t="inlineStr">
        <is>
          <t>Factor  F</t>
        </is>
      </c>
      <c r="F8" s="208" t="inlineStr">
        <is>
          <t>ค่าก่อสร้าง</t>
        </is>
      </c>
      <c r="G8" s="208" t="inlineStr">
        <is>
          <t>หมายเหตุ</t>
        </is>
      </c>
    </row>
    <row r="9" ht="21.75" customHeight="1">
      <c r="A9" s="210" t="n"/>
      <c r="B9" s="558" t="n"/>
      <c r="C9" s="559" t="n"/>
      <c r="D9" s="211" t="inlineStr">
        <is>
          <t>( บาท )</t>
        </is>
      </c>
      <c r="E9" s="210" t="n"/>
      <c r="F9" s="211" t="inlineStr">
        <is>
          <t>( บาท )</t>
        </is>
      </c>
      <c r="G9" s="210" t="n"/>
    </row>
    <row r="10" ht="19.5" customHeight="1">
      <c r="A10" s="223" t="n">
        <v>1</v>
      </c>
      <c r="B10" s="213" t="inlineStr">
        <is>
          <t>ส่วนที่ 1 ค่างานต้นทุน</t>
        </is>
      </c>
      <c r="C10" s="214" t="n"/>
      <c r="D10" s="668" t="n"/>
      <c r="E10" s="669" t="n"/>
      <c r="F10" s="668" t="n"/>
      <c r="G10" s="209" t="n"/>
    </row>
    <row r="11" ht="19.5" customHeight="1">
      <c r="A11" s="215" t="n"/>
      <c r="B11" s="216" t="n"/>
      <c r="C11" s="217" t="n"/>
      <c r="D11" s="668" t="n"/>
      <c r="E11" s="669" t="n"/>
      <c r="F11" s="668" t="n"/>
      <c r="G11" s="670" t="n"/>
    </row>
    <row r="12" ht="19.5" customHeight="1">
      <c r="A12" s="215" t="n"/>
      <c r="B12" s="251" t="n"/>
      <c r="C12" s="252" t="n"/>
      <c r="D12" s="668">
        <f>'1.ปร.4'!F18</f>
        <v/>
      </c>
      <c r="E12" s="669">
        <f>'factor F'!N26</f>
        <v/>
      </c>
      <c r="F12" s="668">
        <f>D12*E12</f>
        <v/>
      </c>
      <c r="G12" s="221" t="n"/>
      <c r="J12" s="671">
        <f>F12-D12</f>
        <v/>
      </c>
      <c r="L12" s="260" t="n"/>
    </row>
    <row r="13" ht="21.75" customHeight="1">
      <c r="A13" s="215" t="n"/>
      <c r="B13" s="423" t="inlineStr">
        <is>
          <t>เงื่อนไข</t>
        </is>
      </c>
      <c r="C13" s="566" t="n"/>
      <c r="D13" s="668" t="n"/>
      <c r="E13" s="669" t="n"/>
      <c r="F13" s="668" t="n"/>
      <c r="G13" s="221" t="n"/>
      <c r="J13" s="671" t="n"/>
    </row>
    <row r="14" ht="19.5" customFormat="1" customHeight="1" s="254">
      <c r="A14" s="215" t="n"/>
      <c r="B14" s="269" t="inlineStr">
        <is>
          <t>เงินล่วงหน้าจ่าย.........</t>
        </is>
      </c>
      <c r="C14" s="253" t="n">
        <v>0</v>
      </c>
      <c r="D14" s="668" t="n"/>
      <c r="E14" s="669" t="n"/>
      <c r="F14" s="668" t="n"/>
      <c r="G14" s="221" t="n"/>
      <c r="J14" s="672" t="n"/>
    </row>
    <row r="15" ht="19.5" customFormat="1" customHeight="1" s="254">
      <c r="A15" s="268" t="n"/>
      <c r="B15" s="275" t="inlineStr">
        <is>
          <t>เงินประกันผลงานหัก........</t>
        </is>
      </c>
      <c r="C15" s="270" t="n">
        <v>0</v>
      </c>
      <c r="D15" s="673" t="n"/>
      <c r="E15" s="674" t="n"/>
      <c r="F15" s="673" t="n"/>
      <c r="G15" s="273" t="n"/>
      <c r="J15" s="672" t="n"/>
    </row>
    <row r="16" ht="19.5" customFormat="1" customHeight="1" s="254">
      <c r="A16" s="268" t="n"/>
      <c r="B16" s="275" t="inlineStr">
        <is>
          <t>ดอกเบี้ยงเงินกู้................</t>
        </is>
      </c>
      <c r="C16" s="270" t="n">
        <v>0.06</v>
      </c>
      <c r="D16" s="673" t="n"/>
      <c r="E16" s="674" t="n"/>
      <c r="F16" s="673" t="n"/>
      <c r="G16" s="273" t="n"/>
      <c r="J16" s="672" t="n"/>
    </row>
    <row r="17" ht="19.5" customFormat="1" customHeight="1" s="254" thickBot="1">
      <c r="A17" s="276" t="n"/>
      <c r="B17" s="277" t="inlineStr">
        <is>
          <t>ค่าภาษีมูลค่าเพิ่ม..........</t>
        </is>
      </c>
      <c r="C17" s="278" t="n">
        <v>0.07000000000000001</v>
      </c>
      <c r="D17" s="675" t="n"/>
      <c r="E17" s="676" t="n"/>
      <c r="F17" s="675" t="n"/>
      <c r="G17" s="281" t="n"/>
      <c r="J17" s="672" t="n"/>
    </row>
    <row r="18" ht="21.75" customHeight="1" thickTop="1">
      <c r="A18" s="226" t="n"/>
      <c r="B18" s="260" t="n"/>
      <c r="C18" s="260" t="n"/>
      <c r="D18" s="260" t="n"/>
      <c r="E18" s="262" t="inlineStr">
        <is>
          <t>รวมราคาค่าก่อสร้าง</t>
        </is>
      </c>
      <c r="F18" s="677" t="n"/>
      <c r="G18" s="212" t="n"/>
    </row>
    <row r="19" ht="21.75" customHeight="1" thickBot="1">
      <c r="A19" s="263" t="n"/>
      <c r="B19" s="264" t="n"/>
      <c r="C19" s="264" t="n"/>
      <c r="D19" s="264" t="n"/>
      <c r="E19" s="265" t="inlineStr">
        <is>
          <t>ยอดสุทธิ</t>
        </is>
      </c>
      <c r="F19" s="678" t="n"/>
      <c r="G19" s="267" t="n"/>
    </row>
    <row r="20" ht="24.75" customHeight="1" thickTop="1">
      <c r="A20" s="260" t="n"/>
      <c r="B20" s="415" t="n"/>
      <c r="C20" s="415" t="n"/>
      <c r="D20" s="261" t="n"/>
      <c r="E20" s="261" t="n"/>
      <c r="F20" s="260" t="n"/>
      <c r="G20" s="260" t="n"/>
    </row>
    <row r="21" customFormat="1" s="285">
      <c r="A21" s="424" t="inlineStr">
        <is>
          <t>คณะกรรมการกำหนดราคากลาง</t>
        </is>
      </c>
      <c r="C21" s="472" t="n"/>
      <c r="D21" s="472" t="n"/>
      <c r="E21" s="313" t="n"/>
      <c r="F21" s="316" t="n"/>
      <c r="G21" s="285" t="n"/>
    </row>
    <row r="22" customFormat="1" s="285">
      <c r="A22" s="472" t="n"/>
      <c r="B22" s="472" t="n"/>
      <c r="C22" s="472" t="n"/>
      <c r="D22" s="472" t="n"/>
      <c r="E22" s="313" t="inlineStr">
        <is>
          <t>(….............................................................)</t>
        </is>
      </c>
      <c r="F22" s="316" t="n"/>
      <c r="G22" s="285" t="n"/>
    </row>
    <row r="23" ht="19.5" customFormat="1" customHeight="1" s="285">
      <c r="A23" s="425" t="n"/>
      <c r="D23" s="313" t="n"/>
      <c r="E23" s="313" t="n"/>
      <c r="F23" s="316" t="n"/>
      <c r="G23" s="285" t="n"/>
    </row>
    <row r="24" ht="19.5" customFormat="1" customHeight="1" s="285">
      <c r="A24" s="313" t="n"/>
      <c r="B24" s="313" t="n"/>
      <c r="C24" s="313" t="n"/>
      <c r="D24" s="472" t="n"/>
      <c r="E24" s="472" t="n"/>
      <c r="F24" s="316" t="n"/>
      <c r="G24" s="285" t="n"/>
    </row>
    <row r="25" customFormat="1" s="285">
      <c r="A25" s="472" t="n"/>
      <c r="B25" s="315" t="n"/>
      <c r="C25" s="472" t="n"/>
      <c r="D25" s="316" t="n"/>
      <c r="E25" s="420" t="inlineStr">
        <is>
          <t>(…...........................................................)</t>
        </is>
      </c>
      <c r="F25" s="316" t="n"/>
      <c r="G25" s="285" t="n"/>
    </row>
    <row r="26" customFormat="1" s="285">
      <c r="A26" s="472" t="n"/>
      <c r="B26" s="315" t="n"/>
      <c r="C26" s="472" t="n"/>
      <c r="D26" s="316" t="n"/>
      <c r="E26" s="420" t="n"/>
      <c r="F26" s="316" t="n"/>
      <c r="G26" s="285" t="n"/>
    </row>
    <row r="27" customFormat="1" s="285">
      <c r="A27" s="472" t="n"/>
      <c r="B27" s="315" t="n"/>
      <c r="C27" s="472" t="n"/>
      <c r="D27" s="316" t="n"/>
      <c r="E27" s="420" t="n"/>
      <c r="F27" s="316" t="n"/>
      <c r="G27" s="285" t="n"/>
    </row>
    <row r="28" customFormat="1" s="285">
      <c r="A28" s="425" t="n"/>
      <c r="B28" s="315" t="n"/>
      <c r="C28" s="315" t="n"/>
      <c r="D28" s="315" t="n"/>
      <c r="E28" s="319" t="inlineStr">
        <is>
          <t>(…...........................................................)</t>
        </is>
      </c>
      <c r="F28" s="316" t="n"/>
      <c r="G28" s="285" t="n"/>
    </row>
    <row r="29" customFormat="1" s="285">
      <c r="A29" s="320" t="n"/>
      <c r="B29" s="315" t="n"/>
      <c r="C29" s="472" t="n"/>
      <c r="D29" s="316" t="n"/>
      <c r="E29" s="472" t="n"/>
      <c r="F29" s="316" t="n"/>
      <c r="G29" s="285" t="n"/>
    </row>
    <row r="30" customFormat="1" s="285">
      <c r="A30" s="472" t="n"/>
      <c r="B30" s="420" t="n"/>
      <c r="D30" s="315" t="n"/>
      <c r="E30" s="472" t="n"/>
      <c r="F30" s="316" t="n"/>
      <c r="G30" s="285" t="n"/>
    </row>
    <row r="31" customFormat="1" s="285">
      <c r="A31" s="472" t="n"/>
      <c r="B31" s="315" t="n"/>
      <c r="C31" s="315" t="n"/>
      <c r="D31" s="315" t="n"/>
      <c r="E31" s="313" t="n"/>
      <c r="F31" s="316" t="n"/>
      <c r="G31" s="285" t="n"/>
    </row>
    <row r="32" customFormat="1" s="285">
      <c r="A32" s="472" t="n"/>
      <c r="B32" s="315" t="n"/>
      <c r="C32" s="315" t="n"/>
      <c r="D32" s="315" t="n"/>
      <c r="E32" s="313" t="n"/>
      <c r="F32" s="316" t="n"/>
      <c r="G32" s="285" t="n"/>
    </row>
    <row r="33">
      <c r="A33" s="231" t="n"/>
      <c r="B33" s="415" t="n"/>
      <c r="D33" s="261" t="n"/>
      <c r="E33" s="229" t="n"/>
      <c r="G33" s="260" t="n"/>
    </row>
    <row r="34">
      <c r="A34" s="231" t="n"/>
      <c r="B34" s="261" t="n"/>
      <c r="C34" s="261" t="n"/>
      <c r="D34" s="261" t="n"/>
      <c r="E34" s="239" t="n"/>
    </row>
    <row r="35">
      <c r="A35" s="240" t="n"/>
      <c r="B35" s="261" t="n"/>
      <c r="C35" s="229" t="n"/>
      <c r="E35" s="229" t="n"/>
    </row>
    <row r="36">
      <c r="A36" s="229" t="n"/>
      <c r="B36" s="415" t="n"/>
      <c r="D36" s="261" t="n"/>
      <c r="E36" s="229" t="n"/>
    </row>
    <row r="37">
      <c r="A37" s="229" t="n"/>
      <c r="B37" s="261" t="n"/>
      <c r="C37" s="261" t="n"/>
      <c r="D37" s="261" t="n"/>
      <c r="E37" s="237" t="n"/>
    </row>
    <row r="38">
      <c r="A38" s="229" t="n"/>
      <c r="B38" s="261" t="n"/>
      <c r="C38" s="261" t="n"/>
      <c r="D38" s="261" t="n"/>
      <c r="E38" s="237" t="n"/>
    </row>
  </sheetData>
  <mergeCells count="8">
    <mergeCell ref="B13:C13"/>
    <mergeCell ref="A21:B21"/>
    <mergeCell ref="B8:C9"/>
    <mergeCell ref="B30:C30"/>
    <mergeCell ref="B33:C33"/>
    <mergeCell ref="A23:C23"/>
    <mergeCell ref="B36:C36"/>
    <mergeCell ref="A2:G2"/>
  </mergeCells>
  <pageMargins left="0.58" right="0.53" top="0.75" bottom="0.75" header="0.3" footer="0.3"/>
  <pageSetup orientation="portrait" paperSize="9" scale="74"/>
</worksheet>
</file>

<file path=xl/worksheets/sheet6.xml><?xml version="1.0" encoding="utf-8"?>
<worksheet xmlns="http://schemas.openxmlformats.org/spreadsheetml/2006/main">
  <sheetPr>
    <tabColor theme="5"/>
    <outlinePr summaryBelow="1" summaryRight="1"/>
    <pageSetUpPr fitToPage="1"/>
  </sheetPr>
  <dimension ref="A1:L36"/>
  <sheetViews>
    <sheetView view="pageBreakPreview" topLeftCell="A38" zoomScale="130" zoomScaleNormal="100" zoomScaleSheetLayoutView="130" workbookViewId="0">
      <selection activeCell="G29" sqref="G29"/>
    </sheetView>
  </sheetViews>
  <sheetFormatPr baseColWidth="8" defaultRowHeight="21" customHeight="1"/>
  <cols>
    <col min="1" max="1" width="9.5703125" style="242" customWidth="1"/>
    <col min="2" max="2" width="14.42578125" style="242" customWidth="1"/>
    <col min="3" max="3" width="21" style="242" customWidth="1"/>
    <col min="4" max="4" width="16.85546875" style="242" hidden="1" customWidth="1"/>
    <col min="5" max="5" width="15.28515625" style="242" customWidth="1"/>
    <col min="6" max="6" width="8.85546875" style="242" customWidth="1"/>
    <col min="7" max="7" width="14.42578125" style="242" customWidth="1"/>
    <col min="8" max="8" width="5.85546875" style="242" customWidth="1"/>
    <col min="9" max="9" width="15.28515625" style="242" customWidth="1"/>
    <col min="10" max="10" width="15.7109375" style="242" customWidth="1"/>
    <col min="11" max="11" width="0.28515625" style="242" hidden="1" customWidth="1"/>
    <col min="12" max="12" width="15" style="242" bestFit="1" customWidth="1"/>
    <col min="13" max="13" width="20.5703125" style="242" customWidth="1"/>
    <col min="14" max="256" width="9.140625" style="242"/>
    <col min="257" max="257" width="6" style="242" customWidth="1"/>
    <col min="258" max="258" width="14.42578125" style="242" customWidth="1"/>
    <col min="259" max="259" width="11.42578125" style="242" customWidth="1"/>
    <col min="260" max="260" width="16.85546875" style="242" customWidth="1"/>
    <col min="261" max="261" width="15.28515625" style="242" customWidth="1"/>
    <col min="262" max="262" width="8.85546875" style="242" customWidth="1"/>
    <col min="263" max="263" width="14.42578125" style="242" customWidth="1"/>
    <col min="264" max="264" width="9.140625" style="242"/>
    <col min="265" max="265" width="15.7109375" style="242" customWidth="1"/>
    <col min="266" max="266" width="23.140625" style="242" customWidth="1"/>
    <col min="267" max="267" width="0" style="242" hidden="1" customWidth="1"/>
    <col min="268" max="268" width="15" style="242" bestFit="1" customWidth="1"/>
    <col min="269" max="512" width="9.140625" style="242"/>
    <col min="513" max="513" width="6" style="242" customWidth="1"/>
    <col min="514" max="514" width="14.42578125" style="242" customWidth="1"/>
    <col min="515" max="515" width="11.42578125" style="242" customWidth="1"/>
    <col min="516" max="516" width="16.85546875" style="242" customWidth="1"/>
    <col min="517" max="517" width="15.28515625" style="242" customWidth="1"/>
    <col min="518" max="518" width="8.85546875" style="242" customWidth="1"/>
    <col min="519" max="519" width="14.42578125" style="242" customWidth="1"/>
    <col min="520" max="520" width="9.140625" style="242"/>
    <col min="521" max="521" width="15.7109375" style="242" customWidth="1"/>
    <col min="522" max="522" width="23.140625" style="242" customWidth="1"/>
    <col min="523" max="523" width="0" style="242" hidden="1" customWidth="1"/>
    <col min="524" max="524" width="15" style="242" bestFit="1" customWidth="1"/>
    <col min="525" max="768" width="9.140625" style="242"/>
    <col min="769" max="769" width="6" style="242" customWidth="1"/>
    <col min="770" max="770" width="14.42578125" style="242" customWidth="1"/>
    <col min="771" max="771" width="11.42578125" style="242" customWidth="1"/>
    <col min="772" max="772" width="16.85546875" style="242" customWidth="1"/>
    <col min="773" max="773" width="15.28515625" style="242" customWidth="1"/>
    <col min="774" max="774" width="8.85546875" style="242" customWidth="1"/>
    <col min="775" max="775" width="14.42578125" style="242" customWidth="1"/>
    <col min="776" max="776" width="9.140625" style="242"/>
    <col min="777" max="777" width="15.7109375" style="242" customWidth="1"/>
    <col min="778" max="778" width="23.140625" style="242" customWidth="1"/>
    <col min="779" max="779" width="0" style="242" hidden="1" customWidth="1"/>
    <col min="780" max="780" width="15" style="242" bestFit="1" customWidth="1"/>
    <col min="781" max="1024" width="9.140625" style="242"/>
    <col min="1025" max="1025" width="6" style="242" customWidth="1"/>
    <col min="1026" max="1026" width="14.42578125" style="242" customWidth="1"/>
    <col min="1027" max="1027" width="11.42578125" style="242" customWidth="1"/>
    <col min="1028" max="1028" width="16.85546875" style="242" customWidth="1"/>
    <col min="1029" max="1029" width="15.28515625" style="242" customWidth="1"/>
    <col min="1030" max="1030" width="8.85546875" style="242" customWidth="1"/>
    <col min="1031" max="1031" width="14.42578125" style="242" customWidth="1"/>
    <col min="1032" max="1032" width="9.140625" style="242"/>
    <col min="1033" max="1033" width="15.7109375" style="242" customWidth="1"/>
    <col min="1034" max="1034" width="23.140625" style="242" customWidth="1"/>
    <col min="1035" max="1035" width="0" style="242" hidden="1" customWidth="1"/>
    <col min="1036" max="1036" width="15" style="242" bestFit="1" customWidth="1"/>
    <col min="1037" max="1280" width="9.140625" style="242"/>
    <col min="1281" max="1281" width="6" style="242" customWidth="1"/>
    <col min="1282" max="1282" width="14.42578125" style="242" customWidth="1"/>
    <col min="1283" max="1283" width="11.42578125" style="242" customWidth="1"/>
    <col min="1284" max="1284" width="16.85546875" style="242" customWidth="1"/>
    <col min="1285" max="1285" width="15.28515625" style="242" customWidth="1"/>
    <col min="1286" max="1286" width="8.85546875" style="242" customWidth="1"/>
    <col min="1287" max="1287" width="14.42578125" style="242" customWidth="1"/>
    <col min="1288" max="1288" width="9.140625" style="242"/>
    <col min="1289" max="1289" width="15.7109375" style="242" customWidth="1"/>
    <col min="1290" max="1290" width="23.140625" style="242" customWidth="1"/>
    <col min="1291" max="1291" width="0" style="242" hidden="1" customWidth="1"/>
    <col min="1292" max="1292" width="15" style="242" bestFit="1" customWidth="1"/>
    <col min="1293" max="1536" width="9.140625" style="242"/>
    <col min="1537" max="1537" width="6" style="242" customWidth="1"/>
    <col min="1538" max="1538" width="14.42578125" style="242" customWidth="1"/>
    <col min="1539" max="1539" width="11.42578125" style="242" customWidth="1"/>
    <col min="1540" max="1540" width="16.85546875" style="242" customWidth="1"/>
    <col min="1541" max="1541" width="15.28515625" style="242" customWidth="1"/>
    <col min="1542" max="1542" width="8.85546875" style="242" customWidth="1"/>
    <col min="1543" max="1543" width="14.42578125" style="242" customWidth="1"/>
    <col min="1544" max="1544" width="9.140625" style="242"/>
    <col min="1545" max="1545" width="15.7109375" style="242" customWidth="1"/>
    <col min="1546" max="1546" width="23.140625" style="242" customWidth="1"/>
    <col min="1547" max="1547" width="0" style="242" hidden="1" customWidth="1"/>
    <col min="1548" max="1548" width="15" style="242" bestFit="1" customWidth="1"/>
    <col min="1549" max="1792" width="9.140625" style="242"/>
    <col min="1793" max="1793" width="6" style="242" customWidth="1"/>
    <col min="1794" max="1794" width="14.42578125" style="242" customWidth="1"/>
    <col min="1795" max="1795" width="11.42578125" style="242" customWidth="1"/>
    <col min="1796" max="1796" width="16.85546875" style="242" customWidth="1"/>
    <col min="1797" max="1797" width="15.28515625" style="242" customWidth="1"/>
    <col min="1798" max="1798" width="8.85546875" style="242" customWidth="1"/>
    <col min="1799" max="1799" width="14.42578125" style="242" customWidth="1"/>
    <col min="1800" max="1800" width="9.140625" style="242"/>
    <col min="1801" max="1801" width="15.7109375" style="242" customWidth="1"/>
    <col min="1802" max="1802" width="23.140625" style="242" customWidth="1"/>
    <col min="1803" max="1803" width="0" style="242" hidden="1" customWidth="1"/>
    <col min="1804" max="1804" width="15" style="242" bestFit="1" customWidth="1"/>
    <col min="1805" max="2048" width="9.140625" style="242"/>
    <col min="2049" max="2049" width="6" style="242" customWidth="1"/>
    <col min="2050" max="2050" width="14.42578125" style="242" customWidth="1"/>
    <col min="2051" max="2051" width="11.42578125" style="242" customWidth="1"/>
    <col min="2052" max="2052" width="16.85546875" style="242" customWidth="1"/>
    <col min="2053" max="2053" width="15.28515625" style="242" customWidth="1"/>
    <col min="2054" max="2054" width="8.85546875" style="242" customWidth="1"/>
    <col min="2055" max="2055" width="14.42578125" style="242" customWidth="1"/>
    <col min="2056" max="2056" width="9.140625" style="242"/>
    <col min="2057" max="2057" width="15.7109375" style="242" customWidth="1"/>
    <col min="2058" max="2058" width="23.140625" style="242" customWidth="1"/>
    <col min="2059" max="2059" width="0" style="242" hidden="1" customWidth="1"/>
    <col min="2060" max="2060" width="15" style="242" bestFit="1" customWidth="1"/>
    <col min="2061" max="2304" width="9.140625" style="242"/>
    <col min="2305" max="2305" width="6" style="242" customWidth="1"/>
    <col min="2306" max="2306" width="14.42578125" style="242" customWidth="1"/>
    <col min="2307" max="2307" width="11.42578125" style="242" customWidth="1"/>
    <col min="2308" max="2308" width="16.85546875" style="242" customWidth="1"/>
    <col min="2309" max="2309" width="15.28515625" style="242" customWidth="1"/>
    <col min="2310" max="2310" width="8.85546875" style="242" customWidth="1"/>
    <col min="2311" max="2311" width="14.42578125" style="242" customWidth="1"/>
    <col min="2312" max="2312" width="9.140625" style="242"/>
    <col min="2313" max="2313" width="15.7109375" style="242" customWidth="1"/>
    <col min="2314" max="2314" width="23.140625" style="242" customWidth="1"/>
    <col min="2315" max="2315" width="0" style="242" hidden="1" customWidth="1"/>
    <col min="2316" max="2316" width="15" style="242" bestFit="1" customWidth="1"/>
    <col min="2317" max="2560" width="9.140625" style="242"/>
    <col min="2561" max="2561" width="6" style="242" customWidth="1"/>
    <col min="2562" max="2562" width="14.42578125" style="242" customWidth="1"/>
    <col min="2563" max="2563" width="11.42578125" style="242" customWidth="1"/>
    <col min="2564" max="2564" width="16.85546875" style="242" customWidth="1"/>
    <col min="2565" max="2565" width="15.28515625" style="242" customWidth="1"/>
    <col min="2566" max="2566" width="8.85546875" style="242" customWidth="1"/>
    <col min="2567" max="2567" width="14.42578125" style="242" customWidth="1"/>
    <col min="2568" max="2568" width="9.140625" style="242"/>
    <col min="2569" max="2569" width="15.7109375" style="242" customWidth="1"/>
    <col min="2570" max="2570" width="23.140625" style="242" customWidth="1"/>
    <col min="2571" max="2571" width="0" style="242" hidden="1" customWidth="1"/>
    <col min="2572" max="2572" width="15" style="242" bestFit="1" customWidth="1"/>
    <col min="2573" max="2816" width="9.140625" style="242"/>
    <col min="2817" max="2817" width="6" style="242" customWidth="1"/>
    <col min="2818" max="2818" width="14.42578125" style="242" customWidth="1"/>
    <col min="2819" max="2819" width="11.42578125" style="242" customWidth="1"/>
    <col min="2820" max="2820" width="16.85546875" style="242" customWidth="1"/>
    <col min="2821" max="2821" width="15.28515625" style="242" customWidth="1"/>
    <col min="2822" max="2822" width="8.85546875" style="242" customWidth="1"/>
    <col min="2823" max="2823" width="14.42578125" style="242" customWidth="1"/>
    <col min="2824" max="2824" width="9.140625" style="242"/>
    <col min="2825" max="2825" width="15.7109375" style="242" customWidth="1"/>
    <col min="2826" max="2826" width="23.140625" style="242" customWidth="1"/>
    <col min="2827" max="2827" width="0" style="242" hidden="1" customWidth="1"/>
    <col min="2828" max="2828" width="15" style="242" bestFit="1" customWidth="1"/>
    <col min="2829" max="3072" width="9.140625" style="242"/>
    <col min="3073" max="3073" width="6" style="242" customWidth="1"/>
    <col min="3074" max="3074" width="14.42578125" style="242" customWidth="1"/>
    <col min="3075" max="3075" width="11.42578125" style="242" customWidth="1"/>
    <col min="3076" max="3076" width="16.85546875" style="242" customWidth="1"/>
    <col min="3077" max="3077" width="15.28515625" style="242" customWidth="1"/>
    <col min="3078" max="3078" width="8.85546875" style="242" customWidth="1"/>
    <col min="3079" max="3079" width="14.42578125" style="242" customWidth="1"/>
    <col min="3080" max="3080" width="9.140625" style="242"/>
    <col min="3081" max="3081" width="15.7109375" style="242" customWidth="1"/>
    <col min="3082" max="3082" width="23.140625" style="242" customWidth="1"/>
    <col min="3083" max="3083" width="0" style="242" hidden="1" customWidth="1"/>
    <col min="3084" max="3084" width="15" style="242" bestFit="1" customWidth="1"/>
    <col min="3085" max="3328" width="9.140625" style="242"/>
    <col min="3329" max="3329" width="6" style="242" customWidth="1"/>
    <col min="3330" max="3330" width="14.42578125" style="242" customWidth="1"/>
    <col min="3331" max="3331" width="11.42578125" style="242" customWidth="1"/>
    <col min="3332" max="3332" width="16.85546875" style="242" customWidth="1"/>
    <col min="3333" max="3333" width="15.28515625" style="242" customWidth="1"/>
    <col min="3334" max="3334" width="8.85546875" style="242" customWidth="1"/>
    <col min="3335" max="3335" width="14.42578125" style="242" customWidth="1"/>
    <col min="3336" max="3336" width="9.140625" style="242"/>
    <col min="3337" max="3337" width="15.7109375" style="242" customWidth="1"/>
    <col min="3338" max="3338" width="23.140625" style="242" customWidth="1"/>
    <col min="3339" max="3339" width="0" style="242" hidden="1" customWidth="1"/>
    <col min="3340" max="3340" width="15" style="242" bestFit="1" customWidth="1"/>
    <col min="3341" max="3584" width="9.140625" style="242"/>
    <col min="3585" max="3585" width="6" style="242" customWidth="1"/>
    <col min="3586" max="3586" width="14.42578125" style="242" customWidth="1"/>
    <col min="3587" max="3587" width="11.42578125" style="242" customWidth="1"/>
    <col min="3588" max="3588" width="16.85546875" style="242" customWidth="1"/>
    <col min="3589" max="3589" width="15.28515625" style="242" customWidth="1"/>
    <col min="3590" max="3590" width="8.85546875" style="242" customWidth="1"/>
    <col min="3591" max="3591" width="14.42578125" style="242" customWidth="1"/>
    <col min="3592" max="3592" width="9.140625" style="242"/>
    <col min="3593" max="3593" width="15.7109375" style="242" customWidth="1"/>
    <col min="3594" max="3594" width="23.140625" style="242" customWidth="1"/>
    <col min="3595" max="3595" width="0" style="242" hidden="1" customWidth="1"/>
    <col min="3596" max="3596" width="15" style="242" bestFit="1" customWidth="1"/>
    <col min="3597" max="3840" width="9.140625" style="242"/>
    <col min="3841" max="3841" width="6" style="242" customWidth="1"/>
    <col min="3842" max="3842" width="14.42578125" style="242" customWidth="1"/>
    <col min="3843" max="3843" width="11.42578125" style="242" customWidth="1"/>
    <col min="3844" max="3844" width="16.85546875" style="242" customWidth="1"/>
    <col min="3845" max="3845" width="15.28515625" style="242" customWidth="1"/>
    <col min="3846" max="3846" width="8.85546875" style="242" customWidth="1"/>
    <col min="3847" max="3847" width="14.42578125" style="242" customWidth="1"/>
    <col min="3848" max="3848" width="9.140625" style="242"/>
    <col min="3849" max="3849" width="15.7109375" style="242" customWidth="1"/>
    <col min="3850" max="3850" width="23.140625" style="242" customWidth="1"/>
    <col min="3851" max="3851" width="0" style="242" hidden="1" customWidth="1"/>
    <col min="3852" max="3852" width="15" style="242" bestFit="1" customWidth="1"/>
    <col min="3853" max="4096" width="9.140625" style="242"/>
    <col min="4097" max="4097" width="6" style="242" customWidth="1"/>
    <col min="4098" max="4098" width="14.42578125" style="242" customWidth="1"/>
    <col min="4099" max="4099" width="11.42578125" style="242" customWidth="1"/>
    <col min="4100" max="4100" width="16.85546875" style="242" customWidth="1"/>
    <col min="4101" max="4101" width="15.28515625" style="242" customWidth="1"/>
    <col min="4102" max="4102" width="8.85546875" style="242" customWidth="1"/>
    <col min="4103" max="4103" width="14.42578125" style="242" customWidth="1"/>
    <col min="4104" max="4104" width="9.140625" style="242"/>
    <col min="4105" max="4105" width="15.7109375" style="242" customWidth="1"/>
    <col min="4106" max="4106" width="23.140625" style="242" customWidth="1"/>
    <col min="4107" max="4107" width="0" style="242" hidden="1" customWidth="1"/>
    <col min="4108" max="4108" width="15" style="242" bestFit="1" customWidth="1"/>
    <col min="4109" max="4352" width="9.140625" style="242"/>
    <col min="4353" max="4353" width="6" style="242" customWidth="1"/>
    <col min="4354" max="4354" width="14.42578125" style="242" customWidth="1"/>
    <col min="4355" max="4355" width="11.42578125" style="242" customWidth="1"/>
    <col min="4356" max="4356" width="16.85546875" style="242" customWidth="1"/>
    <col min="4357" max="4357" width="15.28515625" style="242" customWidth="1"/>
    <col min="4358" max="4358" width="8.85546875" style="242" customWidth="1"/>
    <col min="4359" max="4359" width="14.42578125" style="242" customWidth="1"/>
    <col min="4360" max="4360" width="9.140625" style="242"/>
    <col min="4361" max="4361" width="15.7109375" style="242" customWidth="1"/>
    <col min="4362" max="4362" width="23.140625" style="242" customWidth="1"/>
    <col min="4363" max="4363" width="0" style="242" hidden="1" customWidth="1"/>
    <col min="4364" max="4364" width="15" style="242" bestFit="1" customWidth="1"/>
    <col min="4365" max="4608" width="9.140625" style="242"/>
    <col min="4609" max="4609" width="6" style="242" customWidth="1"/>
    <col min="4610" max="4610" width="14.42578125" style="242" customWidth="1"/>
    <col min="4611" max="4611" width="11.42578125" style="242" customWidth="1"/>
    <col min="4612" max="4612" width="16.85546875" style="242" customWidth="1"/>
    <col min="4613" max="4613" width="15.28515625" style="242" customWidth="1"/>
    <col min="4614" max="4614" width="8.85546875" style="242" customWidth="1"/>
    <col min="4615" max="4615" width="14.42578125" style="242" customWidth="1"/>
    <col min="4616" max="4616" width="9.140625" style="242"/>
    <col min="4617" max="4617" width="15.7109375" style="242" customWidth="1"/>
    <col min="4618" max="4618" width="23.140625" style="242" customWidth="1"/>
    <col min="4619" max="4619" width="0" style="242" hidden="1" customWidth="1"/>
    <col min="4620" max="4620" width="15" style="242" bestFit="1" customWidth="1"/>
    <col min="4621" max="4864" width="9.140625" style="242"/>
    <col min="4865" max="4865" width="6" style="242" customWidth="1"/>
    <col min="4866" max="4866" width="14.42578125" style="242" customWidth="1"/>
    <col min="4867" max="4867" width="11.42578125" style="242" customWidth="1"/>
    <col min="4868" max="4868" width="16.85546875" style="242" customWidth="1"/>
    <col min="4869" max="4869" width="15.28515625" style="242" customWidth="1"/>
    <col min="4870" max="4870" width="8.85546875" style="242" customWidth="1"/>
    <col min="4871" max="4871" width="14.42578125" style="242" customWidth="1"/>
    <col min="4872" max="4872" width="9.140625" style="242"/>
    <col min="4873" max="4873" width="15.7109375" style="242" customWidth="1"/>
    <col min="4874" max="4874" width="23.140625" style="242" customWidth="1"/>
    <col min="4875" max="4875" width="0" style="242" hidden="1" customWidth="1"/>
    <col min="4876" max="4876" width="15" style="242" bestFit="1" customWidth="1"/>
    <col min="4877" max="5120" width="9.140625" style="242"/>
    <col min="5121" max="5121" width="6" style="242" customWidth="1"/>
    <col min="5122" max="5122" width="14.42578125" style="242" customWidth="1"/>
    <col min="5123" max="5123" width="11.42578125" style="242" customWidth="1"/>
    <col min="5124" max="5124" width="16.85546875" style="242" customWidth="1"/>
    <col min="5125" max="5125" width="15.28515625" style="242" customWidth="1"/>
    <col min="5126" max="5126" width="8.85546875" style="242" customWidth="1"/>
    <col min="5127" max="5127" width="14.42578125" style="242" customWidth="1"/>
    <col min="5128" max="5128" width="9.140625" style="242"/>
    <col min="5129" max="5129" width="15.7109375" style="242" customWidth="1"/>
    <col min="5130" max="5130" width="23.140625" style="242" customWidth="1"/>
    <col min="5131" max="5131" width="0" style="242" hidden="1" customWidth="1"/>
    <col min="5132" max="5132" width="15" style="242" bestFit="1" customWidth="1"/>
    <col min="5133" max="5376" width="9.140625" style="242"/>
    <col min="5377" max="5377" width="6" style="242" customWidth="1"/>
    <col min="5378" max="5378" width="14.42578125" style="242" customWidth="1"/>
    <col min="5379" max="5379" width="11.42578125" style="242" customWidth="1"/>
    <col min="5380" max="5380" width="16.85546875" style="242" customWidth="1"/>
    <col min="5381" max="5381" width="15.28515625" style="242" customWidth="1"/>
    <col min="5382" max="5382" width="8.85546875" style="242" customWidth="1"/>
    <col min="5383" max="5383" width="14.42578125" style="242" customWidth="1"/>
    <col min="5384" max="5384" width="9.140625" style="242"/>
    <col min="5385" max="5385" width="15.7109375" style="242" customWidth="1"/>
    <col min="5386" max="5386" width="23.140625" style="242" customWidth="1"/>
    <col min="5387" max="5387" width="0" style="242" hidden="1" customWidth="1"/>
    <col min="5388" max="5388" width="15" style="242" bestFit="1" customWidth="1"/>
    <col min="5389" max="5632" width="9.140625" style="242"/>
    <col min="5633" max="5633" width="6" style="242" customWidth="1"/>
    <col min="5634" max="5634" width="14.42578125" style="242" customWidth="1"/>
    <col min="5635" max="5635" width="11.42578125" style="242" customWidth="1"/>
    <col min="5636" max="5636" width="16.85546875" style="242" customWidth="1"/>
    <col min="5637" max="5637" width="15.28515625" style="242" customWidth="1"/>
    <col min="5638" max="5638" width="8.85546875" style="242" customWidth="1"/>
    <col min="5639" max="5639" width="14.42578125" style="242" customWidth="1"/>
    <col min="5640" max="5640" width="9.140625" style="242"/>
    <col min="5641" max="5641" width="15.7109375" style="242" customWidth="1"/>
    <col min="5642" max="5642" width="23.140625" style="242" customWidth="1"/>
    <col min="5643" max="5643" width="0" style="242" hidden="1" customWidth="1"/>
    <col min="5644" max="5644" width="15" style="242" bestFit="1" customWidth="1"/>
    <col min="5645" max="5888" width="9.140625" style="242"/>
    <col min="5889" max="5889" width="6" style="242" customWidth="1"/>
    <col min="5890" max="5890" width="14.42578125" style="242" customWidth="1"/>
    <col min="5891" max="5891" width="11.42578125" style="242" customWidth="1"/>
    <col min="5892" max="5892" width="16.85546875" style="242" customWidth="1"/>
    <col min="5893" max="5893" width="15.28515625" style="242" customWidth="1"/>
    <col min="5894" max="5894" width="8.85546875" style="242" customWidth="1"/>
    <col min="5895" max="5895" width="14.42578125" style="242" customWidth="1"/>
    <col min="5896" max="5896" width="9.140625" style="242"/>
    <col min="5897" max="5897" width="15.7109375" style="242" customWidth="1"/>
    <col min="5898" max="5898" width="23.140625" style="242" customWidth="1"/>
    <col min="5899" max="5899" width="0" style="242" hidden="1" customWidth="1"/>
    <col min="5900" max="5900" width="15" style="242" bestFit="1" customWidth="1"/>
    <col min="5901" max="6144" width="9.140625" style="242"/>
    <col min="6145" max="6145" width="6" style="242" customWidth="1"/>
    <col min="6146" max="6146" width="14.42578125" style="242" customWidth="1"/>
    <col min="6147" max="6147" width="11.42578125" style="242" customWidth="1"/>
    <col min="6148" max="6148" width="16.85546875" style="242" customWidth="1"/>
    <col min="6149" max="6149" width="15.28515625" style="242" customWidth="1"/>
    <col min="6150" max="6150" width="8.85546875" style="242" customWidth="1"/>
    <col min="6151" max="6151" width="14.42578125" style="242" customWidth="1"/>
    <col min="6152" max="6152" width="9.140625" style="242"/>
    <col min="6153" max="6153" width="15.7109375" style="242" customWidth="1"/>
    <col min="6154" max="6154" width="23.140625" style="242" customWidth="1"/>
    <col min="6155" max="6155" width="0" style="242" hidden="1" customWidth="1"/>
    <col min="6156" max="6156" width="15" style="242" bestFit="1" customWidth="1"/>
    <col min="6157" max="6400" width="9.140625" style="242"/>
    <col min="6401" max="6401" width="6" style="242" customWidth="1"/>
    <col min="6402" max="6402" width="14.42578125" style="242" customWidth="1"/>
    <col min="6403" max="6403" width="11.42578125" style="242" customWidth="1"/>
    <col min="6404" max="6404" width="16.85546875" style="242" customWidth="1"/>
    <col min="6405" max="6405" width="15.28515625" style="242" customWidth="1"/>
    <col min="6406" max="6406" width="8.85546875" style="242" customWidth="1"/>
    <col min="6407" max="6407" width="14.42578125" style="242" customWidth="1"/>
    <col min="6408" max="6408" width="9.140625" style="242"/>
    <col min="6409" max="6409" width="15.7109375" style="242" customWidth="1"/>
    <col min="6410" max="6410" width="23.140625" style="242" customWidth="1"/>
    <col min="6411" max="6411" width="0" style="242" hidden="1" customWidth="1"/>
    <col min="6412" max="6412" width="15" style="242" bestFit="1" customWidth="1"/>
    <col min="6413" max="6656" width="9.140625" style="242"/>
    <col min="6657" max="6657" width="6" style="242" customWidth="1"/>
    <col min="6658" max="6658" width="14.42578125" style="242" customWidth="1"/>
    <col min="6659" max="6659" width="11.42578125" style="242" customWidth="1"/>
    <col min="6660" max="6660" width="16.85546875" style="242" customWidth="1"/>
    <col min="6661" max="6661" width="15.28515625" style="242" customWidth="1"/>
    <col min="6662" max="6662" width="8.85546875" style="242" customWidth="1"/>
    <col min="6663" max="6663" width="14.42578125" style="242" customWidth="1"/>
    <col min="6664" max="6664" width="9.140625" style="242"/>
    <col min="6665" max="6665" width="15.7109375" style="242" customWidth="1"/>
    <col min="6666" max="6666" width="23.140625" style="242" customWidth="1"/>
    <col min="6667" max="6667" width="0" style="242" hidden="1" customWidth="1"/>
    <col min="6668" max="6668" width="15" style="242" bestFit="1" customWidth="1"/>
    <col min="6669" max="6912" width="9.140625" style="242"/>
    <col min="6913" max="6913" width="6" style="242" customWidth="1"/>
    <col min="6914" max="6914" width="14.42578125" style="242" customWidth="1"/>
    <col min="6915" max="6915" width="11.42578125" style="242" customWidth="1"/>
    <col min="6916" max="6916" width="16.85546875" style="242" customWidth="1"/>
    <col min="6917" max="6917" width="15.28515625" style="242" customWidth="1"/>
    <col min="6918" max="6918" width="8.85546875" style="242" customWidth="1"/>
    <col min="6919" max="6919" width="14.42578125" style="242" customWidth="1"/>
    <col min="6920" max="6920" width="9.140625" style="242"/>
    <col min="6921" max="6921" width="15.7109375" style="242" customWidth="1"/>
    <col min="6922" max="6922" width="23.140625" style="242" customWidth="1"/>
    <col min="6923" max="6923" width="0" style="242" hidden="1" customWidth="1"/>
    <col min="6924" max="6924" width="15" style="242" bestFit="1" customWidth="1"/>
    <col min="6925" max="7168" width="9.140625" style="242"/>
    <col min="7169" max="7169" width="6" style="242" customWidth="1"/>
    <col min="7170" max="7170" width="14.42578125" style="242" customWidth="1"/>
    <col min="7171" max="7171" width="11.42578125" style="242" customWidth="1"/>
    <col min="7172" max="7172" width="16.85546875" style="242" customWidth="1"/>
    <col min="7173" max="7173" width="15.28515625" style="242" customWidth="1"/>
    <col min="7174" max="7174" width="8.85546875" style="242" customWidth="1"/>
    <col min="7175" max="7175" width="14.42578125" style="242" customWidth="1"/>
    <col min="7176" max="7176" width="9.140625" style="242"/>
    <col min="7177" max="7177" width="15.7109375" style="242" customWidth="1"/>
    <col min="7178" max="7178" width="23.140625" style="242" customWidth="1"/>
    <col min="7179" max="7179" width="0" style="242" hidden="1" customWidth="1"/>
    <col min="7180" max="7180" width="15" style="242" bestFit="1" customWidth="1"/>
    <col min="7181" max="7424" width="9.140625" style="242"/>
    <col min="7425" max="7425" width="6" style="242" customWidth="1"/>
    <col min="7426" max="7426" width="14.42578125" style="242" customWidth="1"/>
    <col min="7427" max="7427" width="11.42578125" style="242" customWidth="1"/>
    <col min="7428" max="7428" width="16.85546875" style="242" customWidth="1"/>
    <col min="7429" max="7429" width="15.28515625" style="242" customWidth="1"/>
    <col min="7430" max="7430" width="8.85546875" style="242" customWidth="1"/>
    <col min="7431" max="7431" width="14.42578125" style="242" customWidth="1"/>
    <col min="7432" max="7432" width="9.140625" style="242"/>
    <col min="7433" max="7433" width="15.7109375" style="242" customWidth="1"/>
    <col min="7434" max="7434" width="23.140625" style="242" customWidth="1"/>
    <col min="7435" max="7435" width="0" style="242" hidden="1" customWidth="1"/>
    <col min="7436" max="7436" width="15" style="242" bestFit="1" customWidth="1"/>
    <col min="7437" max="7680" width="9.140625" style="242"/>
    <col min="7681" max="7681" width="6" style="242" customWidth="1"/>
    <col min="7682" max="7682" width="14.42578125" style="242" customWidth="1"/>
    <col min="7683" max="7683" width="11.42578125" style="242" customWidth="1"/>
    <col min="7684" max="7684" width="16.85546875" style="242" customWidth="1"/>
    <col min="7685" max="7685" width="15.28515625" style="242" customWidth="1"/>
    <col min="7686" max="7686" width="8.85546875" style="242" customWidth="1"/>
    <col min="7687" max="7687" width="14.42578125" style="242" customWidth="1"/>
    <col min="7688" max="7688" width="9.140625" style="242"/>
    <col min="7689" max="7689" width="15.7109375" style="242" customWidth="1"/>
    <col min="7690" max="7690" width="23.140625" style="242" customWidth="1"/>
    <col min="7691" max="7691" width="0" style="242" hidden="1" customWidth="1"/>
    <col min="7692" max="7692" width="15" style="242" bestFit="1" customWidth="1"/>
    <col min="7693" max="7936" width="9.140625" style="242"/>
    <col min="7937" max="7937" width="6" style="242" customWidth="1"/>
    <col min="7938" max="7938" width="14.42578125" style="242" customWidth="1"/>
    <col min="7939" max="7939" width="11.42578125" style="242" customWidth="1"/>
    <col min="7940" max="7940" width="16.85546875" style="242" customWidth="1"/>
    <col min="7941" max="7941" width="15.28515625" style="242" customWidth="1"/>
    <col min="7942" max="7942" width="8.85546875" style="242" customWidth="1"/>
    <col min="7943" max="7943" width="14.42578125" style="242" customWidth="1"/>
    <col min="7944" max="7944" width="9.140625" style="242"/>
    <col min="7945" max="7945" width="15.7109375" style="242" customWidth="1"/>
    <col min="7946" max="7946" width="23.140625" style="242" customWidth="1"/>
    <col min="7947" max="7947" width="0" style="242" hidden="1" customWidth="1"/>
    <col min="7948" max="7948" width="15" style="242" bestFit="1" customWidth="1"/>
    <col min="7949" max="8192" width="9.140625" style="242"/>
    <col min="8193" max="8193" width="6" style="242" customWidth="1"/>
    <col min="8194" max="8194" width="14.42578125" style="242" customWidth="1"/>
    <col min="8195" max="8195" width="11.42578125" style="242" customWidth="1"/>
    <col min="8196" max="8196" width="16.85546875" style="242" customWidth="1"/>
    <col min="8197" max="8197" width="15.28515625" style="242" customWidth="1"/>
    <col min="8198" max="8198" width="8.85546875" style="242" customWidth="1"/>
    <col min="8199" max="8199" width="14.42578125" style="242" customWidth="1"/>
    <col min="8200" max="8200" width="9.140625" style="242"/>
    <col min="8201" max="8201" width="15.7109375" style="242" customWidth="1"/>
    <col min="8202" max="8202" width="23.140625" style="242" customWidth="1"/>
    <col min="8203" max="8203" width="0" style="242" hidden="1" customWidth="1"/>
    <col min="8204" max="8204" width="15" style="242" bestFit="1" customWidth="1"/>
    <col min="8205" max="8448" width="9.140625" style="242"/>
    <col min="8449" max="8449" width="6" style="242" customWidth="1"/>
    <col min="8450" max="8450" width="14.42578125" style="242" customWidth="1"/>
    <col min="8451" max="8451" width="11.42578125" style="242" customWidth="1"/>
    <col min="8452" max="8452" width="16.85546875" style="242" customWidth="1"/>
    <col min="8453" max="8453" width="15.28515625" style="242" customWidth="1"/>
    <col min="8454" max="8454" width="8.85546875" style="242" customWidth="1"/>
    <col min="8455" max="8455" width="14.42578125" style="242" customWidth="1"/>
    <col min="8456" max="8456" width="9.140625" style="242"/>
    <col min="8457" max="8457" width="15.7109375" style="242" customWidth="1"/>
    <col min="8458" max="8458" width="23.140625" style="242" customWidth="1"/>
    <col min="8459" max="8459" width="0" style="242" hidden="1" customWidth="1"/>
    <col min="8460" max="8460" width="15" style="242" bestFit="1" customWidth="1"/>
    <col min="8461" max="8704" width="9.140625" style="242"/>
    <col min="8705" max="8705" width="6" style="242" customWidth="1"/>
    <col min="8706" max="8706" width="14.42578125" style="242" customWidth="1"/>
    <col min="8707" max="8707" width="11.42578125" style="242" customWidth="1"/>
    <col min="8708" max="8708" width="16.85546875" style="242" customWidth="1"/>
    <col min="8709" max="8709" width="15.28515625" style="242" customWidth="1"/>
    <col min="8710" max="8710" width="8.85546875" style="242" customWidth="1"/>
    <col min="8711" max="8711" width="14.42578125" style="242" customWidth="1"/>
    <col min="8712" max="8712" width="9.140625" style="242"/>
    <col min="8713" max="8713" width="15.7109375" style="242" customWidth="1"/>
    <col min="8714" max="8714" width="23.140625" style="242" customWidth="1"/>
    <col min="8715" max="8715" width="0" style="242" hidden="1" customWidth="1"/>
    <col min="8716" max="8716" width="15" style="242" bestFit="1" customWidth="1"/>
    <col min="8717" max="8960" width="9.140625" style="242"/>
    <col min="8961" max="8961" width="6" style="242" customWidth="1"/>
    <col min="8962" max="8962" width="14.42578125" style="242" customWidth="1"/>
    <col min="8963" max="8963" width="11.42578125" style="242" customWidth="1"/>
    <col min="8964" max="8964" width="16.85546875" style="242" customWidth="1"/>
    <col min="8965" max="8965" width="15.28515625" style="242" customWidth="1"/>
    <col min="8966" max="8966" width="8.85546875" style="242" customWidth="1"/>
    <col min="8967" max="8967" width="14.42578125" style="242" customWidth="1"/>
    <col min="8968" max="8968" width="9.140625" style="242"/>
    <col min="8969" max="8969" width="15.7109375" style="242" customWidth="1"/>
    <col min="8970" max="8970" width="23.140625" style="242" customWidth="1"/>
    <col min="8971" max="8971" width="0" style="242" hidden="1" customWidth="1"/>
    <col min="8972" max="8972" width="15" style="242" bestFit="1" customWidth="1"/>
    <col min="8973" max="9216" width="9.140625" style="242"/>
    <col min="9217" max="9217" width="6" style="242" customWidth="1"/>
    <col min="9218" max="9218" width="14.42578125" style="242" customWidth="1"/>
    <col min="9219" max="9219" width="11.42578125" style="242" customWidth="1"/>
    <col min="9220" max="9220" width="16.85546875" style="242" customWidth="1"/>
    <col min="9221" max="9221" width="15.28515625" style="242" customWidth="1"/>
    <col min="9222" max="9222" width="8.85546875" style="242" customWidth="1"/>
    <col min="9223" max="9223" width="14.42578125" style="242" customWidth="1"/>
    <col min="9224" max="9224" width="9.140625" style="242"/>
    <col min="9225" max="9225" width="15.7109375" style="242" customWidth="1"/>
    <col min="9226" max="9226" width="23.140625" style="242" customWidth="1"/>
    <col min="9227" max="9227" width="0" style="242" hidden="1" customWidth="1"/>
    <col min="9228" max="9228" width="15" style="242" bestFit="1" customWidth="1"/>
    <col min="9229" max="9472" width="9.140625" style="242"/>
    <col min="9473" max="9473" width="6" style="242" customWidth="1"/>
    <col min="9474" max="9474" width="14.42578125" style="242" customWidth="1"/>
    <col min="9475" max="9475" width="11.42578125" style="242" customWidth="1"/>
    <col min="9476" max="9476" width="16.85546875" style="242" customWidth="1"/>
    <col min="9477" max="9477" width="15.28515625" style="242" customWidth="1"/>
    <col min="9478" max="9478" width="8.85546875" style="242" customWidth="1"/>
    <col min="9479" max="9479" width="14.42578125" style="242" customWidth="1"/>
    <col min="9480" max="9480" width="9.140625" style="242"/>
    <col min="9481" max="9481" width="15.7109375" style="242" customWidth="1"/>
    <col min="9482" max="9482" width="23.140625" style="242" customWidth="1"/>
    <col min="9483" max="9483" width="0" style="242" hidden="1" customWidth="1"/>
    <col min="9484" max="9484" width="15" style="242" bestFit="1" customWidth="1"/>
    <col min="9485" max="9728" width="9.140625" style="242"/>
    <col min="9729" max="9729" width="6" style="242" customWidth="1"/>
    <col min="9730" max="9730" width="14.42578125" style="242" customWidth="1"/>
    <col min="9731" max="9731" width="11.42578125" style="242" customWidth="1"/>
    <col min="9732" max="9732" width="16.85546875" style="242" customWidth="1"/>
    <col min="9733" max="9733" width="15.28515625" style="242" customWidth="1"/>
    <col min="9734" max="9734" width="8.85546875" style="242" customWidth="1"/>
    <col min="9735" max="9735" width="14.42578125" style="242" customWidth="1"/>
    <col min="9736" max="9736" width="9.140625" style="242"/>
    <col min="9737" max="9737" width="15.7109375" style="242" customWidth="1"/>
    <col min="9738" max="9738" width="23.140625" style="242" customWidth="1"/>
    <col min="9739" max="9739" width="0" style="242" hidden="1" customWidth="1"/>
    <col min="9740" max="9740" width="15" style="242" bestFit="1" customWidth="1"/>
    <col min="9741" max="9984" width="9.140625" style="242"/>
    <col min="9985" max="9985" width="6" style="242" customWidth="1"/>
    <col min="9986" max="9986" width="14.42578125" style="242" customWidth="1"/>
    <col min="9987" max="9987" width="11.42578125" style="242" customWidth="1"/>
    <col min="9988" max="9988" width="16.85546875" style="242" customWidth="1"/>
    <col min="9989" max="9989" width="15.28515625" style="242" customWidth="1"/>
    <col min="9990" max="9990" width="8.85546875" style="242" customWidth="1"/>
    <col min="9991" max="9991" width="14.42578125" style="242" customWidth="1"/>
    <col min="9992" max="9992" width="9.140625" style="242"/>
    <col min="9993" max="9993" width="15.7109375" style="242" customWidth="1"/>
    <col min="9994" max="9994" width="23.140625" style="242" customWidth="1"/>
    <col min="9995" max="9995" width="0" style="242" hidden="1" customWidth="1"/>
    <col min="9996" max="9996" width="15" style="242" bestFit="1" customWidth="1"/>
    <col min="9997" max="10240" width="9.140625" style="242"/>
    <col min="10241" max="10241" width="6" style="242" customWidth="1"/>
    <col min="10242" max="10242" width="14.42578125" style="242" customWidth="1"/>
    <col min="10243" max="10243" width="11.42578125" style="242" customWidth="1"/>
    <col min="10244" max="10244" width="16.85546875" style="242" customWidth="1"/>
    <col min="10245" max="10245" width="15.28515625" style="242" customWidth="1"/>
    <col min="10246" max="10246" width="8.85546875" style="242" customWidth="1"/>
    <col min="10247" max="10247" width="14.42578125" style="242" customWidth="1"/>
    <col min="10248" max="10248" width="9.140625" style="242"/>
    <col min="10249" max="10249" width="15.7109375" style="242" customWidth="1"/>
    <col min="10250" max="10250" width="23.140625" style="242" customWidth="1"/>
    <col min="10251" max="10251" width="0" style="242" hidden="1" customWidth="1"/>
    <col min="10252" max="10252" width="15" style="242" bestFit="1" customWidth="1"/>
    <col min="10253" max="10496" width="9.140625" style="242"/>
    <col min="10497" max="10497" width="6" style="242" customWidth="1"/>
    <col min="10498" max="10498" width="14.42578125" style="242" customWidth="1"/>
    <col min="10499" max="10499" width="11.42578125" style="242" customWidth="1"/>
    <col min="10500" max="10500" width="16.85546875" style="242" customWidth="1"/>
    <col min="10501" max="10501" width="15.28515625" style="242" customWidth="1"/>
    <col min="10502" max="10502" width="8.85546875" style="242" customWidth="1"/>
    <col min="10503" max="10503" width="14.42578125" style="242" customWidth="1"/>
    <col min="10504" max="10504" width="9.140625" style="242"/>
    <col min="10505" max="10505" width="15.7109375" style="242" customWidth="1"/>
    <col min="10506" max="10506" width="23.140625" style="242" customWidth="1"/>
    <col min="10507" max="10507" width="0" style="242" hidden="1" customWidth="1"/>
    <col min="10508" max="10508" width="15" style="242" bestFit="1" customWidth="1"/>
    <col min="10509" max="10752" width="9.140625" style="242"/>
    <col min="10753" max="10753" width="6" style="242" customWidth="1"/>
    <col min="10754" max="10754" width="14.42578125" style="242" customWidth="1"/>
    <col min="10755" max="10755" width="11.42578125" style="242" customWidth="1"/>
    <col min="10756" max="10756" width="16.85546875" style="242" customWidth="1"/>
    <col min="10757" max="10757" width="15.28515625" style="242" customWidth="1"/>
    <col min="10758" max="10758" width="8.85546875" style="242" customWidth="1"/>
    <col min="10759" max="10759" width="14.42578125" style="242" customWidth="1"/>
    <col min="10760" max="10760" width="9.140625" style="242"/>
    <col min="10761" max="10761" width="15.7109375" style="242" customWidth="1"/>
    <col min="10762" max="10762" width="23.140625" style="242" customWidth="1"/>
    <col min="10763" max="10763" width="0" style="242" hidden="1" customWidth="1"/>
    <col min="10764" max="10764" width="15" style="242" bestFit="1" customWidth="1"/>
    <col min="10765" max="11008" width="9.140625" style="242"/>
    <col min="11009" max="11009" width="6" style="242" customWidth="1"/>
    <col min="11010" max="11010" width="14.42578125" style="242" customWidth="1"/>
    <col min="11011" max="11011" width="11.42578125" style="242" customWidth="1"/>
    <col min="11012" max="11012" width="16.85546875" style="242" customWidth="1"/>
    <col min="11013" max="11013" width="15.28515625" style="242" customWidth="1"/>
    <col min="11014" max="11014" width="8.85546875" style="242" customWidth="1"/>
    <col min="11015" max="11015" width="14.42578125" style="242" customWidth="1"/>
    <col min="11016" max="11016" width="9.140625" style="242"/>
    <col min="11017" max="11017" width="15.7109375" style="242" customWidth="1"/>
    <col min="11018" max="11018" width="23.140625" style="242" customWidth="1"/>
    <col min="11019" max="11019" width="0" style="242" hidden="1" customWidth="1"/>
    <col min="11020" max="11020" width="15" style="242" bestFit="1" customWidth="1"/>
    <col min="11021" max="11264" width="9.140625" style="242"/>
    <col min="11265" max="11265" width="6" style="242" customWidth="1"/>
    <col min="11266" max="11266" width="14.42578125" style="242" customWidth="1"/>
    <col min="11267" max="11267" width="11.42578125" style="242" customWidth="1"/>
    <col min="11268" max="11268" width="16.85546875" style="242" customWidth="1"/>
    <col min="11269" max="11269" width="15.28515625" style="242" customWidth="1"/>
    <col min="11270" max="11270" width="8.85546875" style="242" customWidth="1"/>
    <col min="11271" max="11271" width="14.42578125" style="242" customWidth="1"/>
    <col min="11272" max="11272" width="9.140625" style="242"/>
    <col min="11273" max="11273" width="15.7109375" style="242" customWidth="1"/>
    <col min="11274" max="11274" width="23.140625" style="242" customWidth="1"/>
    <col min="11275" max="11275" width="0" style="242" hidden="1" customWidth="1"/>
    <col min="11276" max="11276" width="15" style="242" bestFit="1" customWidth="1"/>
    <col min="11277" max="11520" width="9.140625" style="242"/>
    <col min="11521" max="11521" width="6" style="242" customWidth="1"/>
    <col min="11522" max="11522" width="14.42578125" style="242" customWidth="1"/>
    <col min="11523" max="11523" width="11.42578125" style="242" customWidth="1"/>
    <col min="11524" max="11524" width="16.85546875" style="242" customWidth="1"/>
    <col min="11525" max="11525" width="15.28515625" style="242" customWidth="1"/>
    <col min="11526" max="11526" width="8.85546875" style="242" customWidth="1"/>
    <col min="11527" max="11527" width="14.42578125" style="242" customWidth="1"/>
    <col min="11528" max="11528" width="9.140625" style="242"/>
    <col min="11529" max="11529" width="15.7109375" style="242" customWidth="1"/>
    <col min="11530" max="11530" width="23.140625" style="242" customWidth="1"/>
    <col min="11531" max="11531" width="0" style="242" hidden="1" customWidth="1"/>
    <col min="11532" max="11532" width="15" style="242" bestFit="1" customWidth="1"/>
    <col min="11533" max="11776" width="9.140625" style="242"/>
    <col min="11777" max="11777" width="6" style="242" customWidth="1"/>
    <col min="11778" max="11778" width="14.42578125" style="242" customWidth="1"/>
    <col min="11779" max="11779" width="11.42578125" style="242" customWidth="1"/>
    <col min="11780" max="11780" width="16.85546875" style="242" customWidth="1"/>
    <col min="11781" max="11781" width="15.28515625" style="242" customWidth="1"/>
    <col min="11782" max="11782" width="8.85546875" style="242" customWidth="1"/>
    <col min="11783" max="11783" width="14.42578125" style="242" customWidth="1"/>
    <col min="11784" max="11784" width="9.140625" style="242"/>
    <col min="11785" max="11785" width="15.7109375" style="242" customWidth="1"/>
    <col min="11786" max="11786" width="23.140625" style="242" customWidth="1"/>
    <col min="11787" max="11787" width="0" style="242" hidden="1" customWidth="1"/>
    <col min="11788" max="11788" width="15" style="242" bestFit="1" customWidth="1"/>
    <col min="11789" max="12032" width="9.140625" style="242"/>
    <col min="12033" max="12033" width="6" style="242" customWidth="1"/>
    <col min="12034" max="12034" width="14.42578125" style="242" customWidth="1"/>
    <col min="12035" max="12035" width="11.42578125" style="242" customWidth="1"/>
    <col min="12036" max="12036" width="16.85546875" style="242" customWidth="1"/>
    <col min="12037" max="12037" width="15.28515625" style="242" customWidth="1"/>
    <col min="12038" max="12038" width="8.85546875" style="242" customWidth="1"/>
    <col min="12039" max="12039" width="14.42578125" style="242" customWidth="1"/>
    <col min="12040" max="12040" width="9.140625" style="242"/>
    <col min="12041" max="12041" width="15.7109375" style="242" customWidth="1"/>
    <col min="12042" max="12042" width="23.140625" style="242" customWidth="1"/>
    <col min="12043" max="12043" width="0" style="242" hidden="1" customWidth="1"/>
    <col min="12044" max="12044" width="15" style="242" bestFit="1" customWidth="1"/>
    <col min="12045" max="12288" width="9.140625" style="242"/>
    <col min="12289" max="12289" width="6" style="242" customWidth="1"/>
    <col min="12290" max="12290" width="14.42578125" style="242" customWidth="1"/>
    <col min="12291" max="12291" width="11.42578125" style="242" customWidth="1"/>
    <col min="12292" max="12292" width="16.85546875" style="242" customWidth="1"/>
    <col min="12293" max="12293" width="15.28515625" style="242" customWidth="1"/>
    <col min="12294" max="12294" width="8.85546875" style="242" customWidth="1"/>
    <col min="12295" max="12295" width="14.42578125" style="242" customWidth="1"/>
    <col min="12296" max="12296" width="9.140625" style="242"/>
    <col min="12297" max="12297" width="15.7109375" style="242" customWidth="1"/>
    <col min="12298" max="12298" width="23.140625" style="242" customWidth="1"/>
    <col min="12299" max="12299" width="0" style="242" hidden="1" customWidth="1"/>
    <col min="12300" max="12300" width="15" style="242" bestFit="1" customWidth="1"/>
    <col min="12301" max="12544" width="9.140625" style="242"/>
    <col min="12545" max="12545" width="6" style="242" customWidth="1"/>
    <col min="12546" max="12546" width="14.42578125" style="242" customWidth="1"/>
    <col min="12547" max="12547" width="11.42578125" style="242" customWidth="1"/>
    <col min="12548" max="12548" width="16.85546875" style="242" customWidth="1"/>
    <col min="12549" max="12549" width="15.28515625" style="242" customWidth="1"/>
    <col min="12550" max="12550" width="8.85546875" style="242" customWidth="1"/>
    <col min="12551" max="12551" width="14.42578125" style="242" customWidth="1"/>
    <col min="12552" max="12552" width="9.140625" style="242"/>
    <col min="12553" max="12553" width="15.7109375" style="242" customWidth="1"/>
    <col min="12554" max="12554" width="23.140625" style="242" customWidth="1"/>
    <col min="12555" max="12555" width="0" style="242" hidden="1" customWidth="1"/>
    <col min="12556" max="12556" width="15" style="242" bestFit="1" customWidth="1"/>
    <col min="12557" max="12800" width="9.140625" style="242"/>
    <col min="12801" max="12801" width="6" style="242" customWidth="1"/>
    <col min="12802" max="12802" width="14.42578125" style="242" customWidth="1"/>
    <col min="12803" max="12803" width="11.42578125" style="242" customWidth="1"/>
    <col min="12804" max="12804" width="16.85546875" style="242" customWidth="1"/>
    <col min="12805" max="12805" width="15.28515625" style="242" customWidth="1"/>
    <col min="12806" max="12806" width="8.85546875" style="242" customWidth="1"/>
    <col min="12807" max="12807" width="14.42578125" style="242" customWidth="1"/>
    <col min="12808" max="12808" width="9.140625" style="242"/>
    <col min="12809" max="12809" width="15.7109375" style="242" customWidth="1"/>
    <col min="12810" max="12810" width="23.140625" style="242" customWidth="1"/>
    <col min="12811" max="12811" width="0" style="242" hidden="1" customWidth="1"/>
    <col min="12812" max="12812" width="15" style="242" bestFit="1" customWidth="1"/>
    <col min="12813" max="13056" width="9.140625" style="242"/>
    <col min="13057" max="13057" width="6" style="242" customWidth="1"/>
    <col min="13058" max="13058" width="14.42578125" style="242" customWidth="1"/>
    <col min="13059" max="13059" width="11.42578125" style="242" customWidth="1"/>
    <col min="13060" max="13060" width="16.85546875" style="242" customWidth="1"/>
    <col min="13061" max="13061" width="15.28515625" style="242" customWidth="1"/>
    <col min="13062" max="13062" width="8.85546875" style="242" customWidth="1"/>
    <col min="13063" max="13063" width="14.42578125" style="242" customWidth="1"/>
    <col min="13064" max="13064" width="9.140625" style="242"/>
    <col min="13065" max="13065" width="15.7109375" style="242" customWidth="1"/>
    <col min="13066" max="13066" width="23.140625" style="242" customWidth="1"/>
    <col min="13067" max="13067" width="0" style="242" hidden="1" customWidth="1"/>
    <col min="13068" max="13068" width="15" style="242" bestFit="1" customWidth="1"/>
    <col min="13069" max="13312" width="9.140625" style="242"/>
    <col min="13313" max="13313" width="6" style="242" customWidth="1"/>
    <col min="13314" max="13314" width="14.42578125" style="242" customWidth="1"/>
    <col min="13315" max="13315" width="11.42578125" style="242" customWidth="1"/>
    <col min="13316" max="13316" width="16.85546875" style="242" customWidth="1"/>
    <col min="13317" max="13317" width="15.28515625" style="242" customWidth="1"/>
    <col min="13318" max="13318" width="8.85546875" style="242" customWidth="1"/>
    <col min="13319" max="13319" width="14.42578125" style="242" customWidth="1"/>
    <col min="13320" max="13320" width="9.140625" style="242"/>
    <col min="13321" max="13321" width="15.7109375" style="242" customWidth="1"/>
    <col min="13322" max="13322" width="23.140625" style="242" customWidth="1"/>
    <col min="13323" max="13323" width="0" style="242" hidden="1" customWidth="1"/>
    <col min="13324" max="13324" width="15" style="242" bestFit="1" customWidth="1"/>
    <col min="13325" max="13568" width="9.140625" style="242"/>
    <col min="13569" max="13569" width="6" style="242" customWidth="1"/>
    <col min="13570" max="13570" width="14.42578125" style="242" customWidth="1"/>
    <col min="13571" max="13571" width="11.42578125" style="242" customWidth="1"/>
    <col min="13572" max="13572" width="16.85546875" style="242" customWidth="1"/>
    <col min="13573" max="13573" width="15.28515625" style="242" customWidth="1"/>
    <col min="13574" max="13574" width="8.85546875" style="242" customWidth="1"/>
    <col min="13575" max="13575" width="14.42578125" style="242" customWidth="1"/>
    <col min="13576" max="13576" width="9.140625" style="242"/>
    <col min="13577" max="13577" width="15.7109375" style="242" customWidth="1"/>
    <col min="13578" max="13578" width="23.140625" style="242" customWidth="1"/>
    <col min="13579" max="13579" width="0" style="242" hidden="1" customWidth="1"/>
    <col min="13580" max="13580" width="15" style="242" bestFit="1" customWidth="1"/>
    <col min="13581" max="13824" width="9.140625" style="242"/>
    <col min="13825" max="13825" width="6" style="242" customWidth="1"/>
    <col min="13826" max="13826" width="14.42578125" style="242" customWidth="1"/>
    <col min="13827" max="13827" width="11.42578125" style="242" customWidth="1"/>
    <col min="13828" max="13828" width="16.85546875" style="242" customWidth="1"/>
    <col min="13829" max="13829" width="15.28515625" style="242" customWidth="1"/>
    <col min="13830" max="13830" width="8.85546875" style="242" customWidth="1"/>
    <col min="13831" max="13831" width="14.42578125" style="242" customWidth="1"/>
    <col min="13832" max="13832" width="9.140625" style="242"/>
    <col min="13833" max="13833" width="15.7109375" style="242" customWidth="1"/>
    <col min="13834" max="13834" width="23.140625" style="242" customWidth="1"/>
    <col min="13835" max="13835" width="0" style="242" hidden="1" customWidth="1"/>
    <col min="13836" max="13836" width="15" style="242" bestFit="1" customWidth="1"/>
    <col min="13837" max="14080" width="9.140625" style="242"/>
    <col min="14081" max="14081" width="6" style="242" customWidth="1"/>
    <col min="14082" max="14082" width="14.42578125" style="242" customWidth="1"/>
    <col min="14083" max="14083" width="11.42578125" style="242" customWidth="1"/>
    <col min="14084" max="14084" width="16.85546875" style="242" customWidth="1"/>
    <col min="14085" max="14085" width="15.28515625" style="242" customWidth="1"/>
    <col min="14086" max="14086" width="8.85546875" style="242" customWidth="1"/>
    <col min="14087" max="14087" width="14.42578125" style="242" customWidth="1"/>
    <col min="14088" max="14088" width="9.140625" style="242"/>
    <col min="14089" max="14089" width="15.7109375" style="242" customWidth="1"/>
    <col min="14090" max="14090" width="23.140625" style="242" customWidth="1"/>
    <col min="14091" max="14091" width="0" style="242" hidden="1" customWidth="1"/>
    <col min="14092" max="14092" width="15" style="242" bestFit="1" customWidth="1"/>
    <col min="14093" max="14336" width="9.140625" style="242"/>
    <col min="14337" max="14337" width="6" style="242" customWidth="1"/>
    <col min="14338" max="14338" width="14.42578125" style="242" customWidth="1"/>
    <col min="14339" max="14339" width="11.42578125" style="242" customWidth="1"/>
    <col min="14340" max="14340" width="16.85546875" style="242" customWidth="1"/>
    <col min="14341" max="14341" width="15.28515625" style="242" customWidth="1"/>
    <col min="14342" max="14342" width="8.85546875" style="242" customWidth="1"/>
    <col min="14343" max="14343" width="14.42578125" style="242" customWidth="1"/>
    <col min="14344" max="14344" width="9.140625" style="242"/>
    <col min="14345" max="14345" width="15.7109375" style="242" customWidth="1"/>
    <col min="14346" max="14346" width="23.140625" style="242" customWidth="1"/>
    <col min="14347" max="14347" width="0" style="242" hidden="1" customWidth="1"/>
    <col min="14348" max="14348" width="15" style="242" bestFit="1" customWidth="1"/>
    <col min="14349" max="14592" width="9.140625" style="242"/>
    <col min="14593" max="14593" width="6" style="242" customWidth="1"/>
    <col min="14594" max="14594" width="14.42578125" style="242" customWidth="1"/>
    <col min="14595" max="14595" width="11.42578125" style="242" customWidth="1"/>
    <col min="14596" max="14596" width="16.85546875" style="242" customWidth="1"/>
    <col min="14597" max="14597" width="15.28515625" style="242" customWidth="1"/>
    <col min="14598" max="14598" width="8.85546875" style="242" customWidth="1"/>
    <col min="14599" max="14599" width="14.42578125" style="242" customWidth="1"/>
    <col min="14600" max="14600" width="9.140625" style="242"/>
    <col min="14601" max="14601" width="15.7109375" style="242" customWidth="1"/>
    <col min="14602" max="14602" width="23.140625" style="242" customWidth="1"/>
    <col min="14603" max="14603" width="0" style="242" hidden="1" customWidth="1"/>
    <col min="14604" max="14604" width="15" style="242" bestFit="1" customWidth="1"/>
    <col min="14605" max="14848" width="9.140625" style="242"/>
    <col min="14849" max="14849" width="6" style="242" customWidth="1"/>
    <col min="14850" max="14850" width="14.42578125" style="242" customWidth="1"/>
    <col min="14851" max="14851" width="11.42578125" style="242" customWidth="1"/>
    <col min="14852" max="14852" width="16.85546875" style="242" customWidth="1"/>
    <col min="14853" max="14853" width="15.28515625" style="242" customWidth="1"/>
    <col min="14854" max="14854" width="8.85546875" style="242" customWidth="1"/>
    <col min="14855" max="14855" width="14.42578125" style="242" customWidth="1"/>
    <col min="14856" max="14856" width="9.140625" style="242"/>
    <col min="14857" max="14857" width="15.7109375" style="242" customWidth="1"/>
    <col min="14858" max="14858" width="23.140625" style="242" customWidth="1"/>
    <col min="14859" max="14859" width="0" style="242" hidden="1" customWidth="1"/>
    <col min="14860" max="14860" width="15" style="242" bestFit="1" customWidth="1"/>
    <col min="14861" max="15104" width="9.140625" style="242"/>
    <col min="15105" max="15105" width="6" style="242" customWidth="1"/>
    <col min="15106" max="15106" width="14.42578125" style="242" customWidth="1"/>
    <col min="15107" max="15107" width="11.42578125" style="242" customWidth="1"/>
    <col min="15108" max="15108" width="16.85546875" style="242" customWidth="1"/>
    <col min="15109" max="15109" width="15.28515625" style="242" customWidth="1"/>
    <col min="15110" max="15110" width="8.85546875" style="242" customWidth="1"/>
    <col min="15111" max="15111" width="14.42578125" style="242" customWidth="1"/>
    <col min="15112" max="15112" width="9.140625" style="242"/>
    <col min="15113" max="15113" width="15.7109375" style="242" customWidth="1"/>
    <col min="15114" max="15114" width="23.140625" style="242" customWidth="1"/>
    <col min="15115" max="15115" width="0" style="242" hidden="1" customWidth="1"/>
    <col min="15116" max="15116" width="15" style="242" bestFit="1" customWidth="1"/>
    <col min="15117" max="15360" width="9.140625" style="242"/>
    <col min="15361" max="15361" width="6" style="242" customWidth="1"/>
    <col min="15362" max="15362" width="14.42578125" style="242" customWidth="1"/>
    <col min="15363" max="15363" width="11.42578125" style="242" customWidth="1"/>
    <col min="15364" max="15364" width="16.85546875" style="242" customWidth="1"/>
    <col min="15365" max="15365" width="15.28515625" style="242" customWidth="1"/>
    <col min="15366" max="15366" width="8.85546875" style="242" customWidth="1"/>
    <col min="15367" max="15367" width="14.42578125" style="242" customWidth="1"/>
    <col min="15368" max="15368" width="9.140625" style="242"/>
    <col min="15369" max="15369" width="15.7109375" style="242" customWidth="1"/>
    <col min="15370" max="15370" width="23.140625" style="242" customWidth="1"/>
    <col min="15371" max="15371" width="0" style="242" hidden="1" customWidth="1"/>
    <col min="15372" max="15372" width="15" style="242" bestFit="1" customWidth="1"/>
    <col min="15373" max="15616" width="9.140625" style="242"/>
    <col min="15617" max="15617" width="6" style="242" customWidth="1"/>
    <col min="15618" max="15618" width="14.42578125" style="242" customWidth="1"/>
    <col min="15619" max="15619" width="11.42578125" style="242" customWidth="1"/>
    <col min="15620" max="15620" width="16.85546875" style="242" customWidth="1"/>
    <col min="15621" max="15621" width="15.28515625" style="242" customWidth="1"/>
    <col min="15622" max="15622" width="8.85546875" style="242" customWidth="1"/>
    <col min="15623" max="15623" width="14.42578125" style="242" customWidth="1"/>
    <col min="15624" max="15624" width="9.140625" style="242"/>
    <col min="15625" max="15625" width="15.7109375" style="242" customWidth="1"/>
    <col min="15626" max="15626" width="23.140625" style="242" customWidth="1"/>
    <col min="15627" max="15627" width="0" style="242" hidden="1" customWidth="1"/>
    <col min="15628" max="15628" width="15" style="242" bestFit="1" customWidth="1"/>
    <col min="15629" max="15872" width="9.140625" style="242"/>
    <col min="15873" max="15873" width="6" style="242" customWidth="1"/>
    <col min="15874" max="15874" width="14.42578125" style="242" customWidth="1"/>
    <col min="15875" max="15875" width="11.42578125" style="242" customWidth="1"/>
    <col min="15876" max="15876" width="16.85546875" style="242" customWidth="1"/>
    <col min="15877" max="15877" width="15.28515625" style="242" customWidth="1"/>
    <col min="15878" max="15878" width="8.85546875" style="242" customWidth="1"/>
    <col min="15879" max="15879" width="14.42578125" style="242" customWidth="1"/>
    <col min="15880" max="15880" width="9.140625" style="242"/>
    <col min="15881" max="15881" width="15.7109375" style="242" customWidth="1"/>
    <col min="15882" max="15882" width="23.140625" style="242" customWidth="1"/>
    <col min="15883" max="15883" width="0" style="242" hidden="1" customWidth="1"/>
    <col min="15884" max="15884" width="15" style="242" bestFit="1" customWidth="1"/>
    <col min="15885" max="16128" width="9.140625" style="242"/>
    <col min="16129" max="16129" width="6" style="242" customWidth="1"/>
    <col min="16130" max="16130" width="14.42578125" style="242" customWidth="1"/>
    <col min="16131" max="16131" width="11.42578125" style="242" customWidth="1"/>
    <col min="16132" max="16132" width="16.85546875" style="242" customWidth="1"/>
    <col min="16133" max="16133" width="15.28515625" style="242" customWidth="1"/>
    <col min="16134" max="16134" width="8.85546875" style="242" customWidth="1"/>
    <col min="16135" max="16135" width="14.42578125" style="242" customWidth="1"/>
    <col min="16136" max="16136" width="9.140625" style="242"/>
    <col min="16137" max="16137" width="15.7109375" style="242" customWidth="1"/>
    <col min="16138" max="16138" width="23.140625" style="242" customWidth="1"/>
    <col min="16139" max="16139" width="0" style="242" hidden="1" customWidth="1"/>
    <col min="16140" max="16140" width="15" style="242" bestFit="1" customWidth="1"/>
    <col min="16141" max="16384" width="9.140625" style="242"/>
  </cols>
  <sheetData>
    <row r="1" ht="20.25" customFormat="1" customHeight="1" s="260">
      <c r="G1" s="207" t="n"/>
      <c r="J1" s="296" t="inlineStr">
        <is>
          <t>ปร.5 (ช)</t>
        </is>
      </c>
    </row>
    <row r="2" ht="22.5" customFormat="1" customHeight="1" s="260">
      <c r="A2" s="421" t="inlineStr">
        <is>
          <t>สรุปค่าก่อสร้าง</t>
        </is>
      </c>
    </row>
    <row r="3" ht="23.25" customFormat="1" customHeight="1" s="260">
      <c r="A3" s="238" t="inlineStr">
        <is>
          <t xml:space="preserve">งานก่อสร้าง  </t>
        </is>
      </c>
      <c r="B3" s="229" t="n"/>
      <c r="C3" s="230" t="n"/>
      <c r="D3" s="231" t="n"/>
      <c r="E3" s="231" t="n"/>
      <c r="F3" s="229" t="n"/>
      <c r="G3" s="229" t="n"/>
    </row>
    <row r="4" ht="23.25" customFormat="1" customHeight="1" s="260">
      <c r="A4" s="55" t="inlineStr">
        <is>
          <t xml:space="preserve">สถานที่ก่อสร้าง           </t>
        </is>
      </c>
      <c r="B4" s="232" t="n"/>
      <c r="C4" s="232" t="n"/>
      <c r="D4" s="232" t="n"/>
      <c r="E4" s="232" t="n"/>
      <c r="F4" s="229" t="n"/>
      <c r="G4" s="229" t="n"/>
      <c r="H4" s="422" t="inlineStr">
        <is>
          <t xml:space="preserve">จังหวัด       </t>
        </is>
      </c>
    </row>
    <row r="5" ht="23.25" customFormat="1" customHeight="1" s="260">
      <c r="A5" s="233" t="inlineStr">
        <is>
          <t>หน่วยงาน</t>
        </is>
      </c>
      <c r="B5" s="241" t="inlineStr">
        <is>
          <t xml:space="preserve"> </t>
        </is>
      </c>
      <c r="C5" s="241" t="n"/>
      <c r="D5" s="241" t="n"/>
      <c r="E5" s="241" t="n"/>
      <c r="F5" s="241" t="n"/>
      <c r="G5" s="229" t="n"/>
    </row>
    <row r="6" ht="23.25" customFormat="1" customHeight="1" s="260">
      <c r="A6" s="229" t="inlineStr">
        <is>
          <t>แบบ ปร.4 (ข) ที่แนบ</t>
        </is>
      </c>
      <c r="B6" s="229" t="n"/>
      <c r="C6" s="387" t="n"/>
      <c r="D6" s="232" t="n"/>
      <c r="F6" s="260" t="inlineStr">
        <is>
          <t>จำนวน      1      แผ่น</t>
        </is>
      </c>
      <c r="G6" s="229" t="n"/>
    </row>
    <row r="7" ht="23.25" customFormat="1" customHeight="1" s="260" thickBot="1">
      <c r="A7" s="255" t="inlineStr">
        <is>
          <t xml:space="preserve">ประมาณการราคาเมื่อวันที่  </t>
        </is>
      </c>
      <c r="B7" s="256" t="n"/>
      <c r="C7" s="257" t="n"/>
      <c r="D7" s="257" t="n"/>
      <c r="E7" s="264" t="n"/>
      <c r="F7" s="264" t="inlineStr">
        <is>
          <t xml:space="preserve">ปรับราคาเมื่อวันที่  </t>
        </is>
      </c>
      <c r="G7" s="259" t="n"/>
      <c r="H7" s="264" t="n"/>
      <c r="I7" s="264" t="n"/>
      <c r="J7" s="264" t="n"/>
    </row>
    <row r="8" ht="21" customHeight="1" thickTop="1">
      <c r="A8" s="452" t="inlineStr">
        <is>
          <t>ลำดับ</t>
        </is>
      </c>
      <c r="B8" s="305" t="inlineStr">
        <is>
          <t>รายการ</t>
        </is>
      </c>
      <c r="C8" s="537" t="n"/>
      <c r="D8" s="679" t="n"/>
      <c r="E8" s="464" t="inlineStr">
        <is>
          <t>ค่าวัสดุและค่าแรงงาน</t>
        </is>
      </c>
      <c r="F8" s="679" t="n"/>
      <c r="G8" s="680" t="inlineStr">
        <is>
          <t>ภาษี</t>
        </is>
      </c>
      <c r="H8" s="464" t="inlineStr">
        <is>
          <t>รวมค่าก่อสร้าง</t>
        </is>
      </c>
      <c r="I8" s="679" t="n"/>
      <c r="J8" s="305" t="inlineStr">
        <is>
          <t>หมายเหตุ</t>
        </is>
      </c>
    </row>
    <row r="9" ht="21" customHeight="1" thickBot="1">
      <c r="A9" s="305" t="inlineStr">
        <is>
          <t>ที่</t>
        </is>
      </c>
      <c r="B9" s="681" t="n"/>
      <c r="C9" s="682" t="n"/>
      <c r="D9" s="683" t="n"/>
      <c r="E9" s="680" t="inlineStr">
        <is>
          <t>รวมเป็นเงิน</t>
        </is>
      </c>
      <c r="F9" s="683" t="n"/>
      <c r="G9" s="684" t="n"/>
      <c r="H9" s="680" t="inlineStr">
        <is>
          <t>รวมเป็นเงิน (บาท)</t>
        </is>
      </c>
      <c r="I9" s="683" t="n"/>
      <c r="J9" s="684" t="n"/>
    </row>
    <row r="10" ht="21" customHeight="1" thickTop="1">
      <c r="A10" s="304" t="n">
        <v>1</v>
      </c>
      <c r="B10" s="450" t="inlineStr">
        <is>
          <t>ส่วนที่ 2 ครุภัณฑ์จัดซื้อหรือสั่งซื้อ</t>
        </is>
      </c>
      <c r="C10" s="685" t="n"/>
      <c r="D10" s="301" t="n"/>
      <c r="E10" s="686">
        <f>'ปร4.ครุภัณฑ์'!J18</f>
        <v/>
      </c>
      <c r="F10" s="687" t="n"/>
      <c r="G10" s="302" t="n">
        <v>0.07000000000000001</v>
      </c>
      <c r="H10" s="688">
        <f>E10*(1+G10)</f>
        <v/>
      </c>
      <c r="I10" s="687" t="n"/>
      <c r="J10" s="303" t="n"/>
    </row>
    <row r="11" ht="21" customHeight="1">
      <c r="A11" s="243" t="n"/>
      <c r="B11" s="244" t="n"/>
      <c r="C11" s="245" t="n"/>
      <c r="D11" s="246" t="n"/>
      <c r="E11" s="689" t="n"/>
      <c r="F11" s="690" t="n"/>
      <c r="G11" s="243" t="n"/>
      <c r="H11" s="691" t="n"/>
      <c r="I11" s="690" t="n"/>
      <c r="J11" s="243" t="n"/>
    </row>
    <row r="12" ht="21" customHeight="1">
      <c r="A12" s="436" t="n"/>
      <c r="B12" s="449" t="n"/>
      <c r="C12" s="692" t="n"/>
      <c r="D12" s="690" t="n"/>
      <c r="E12" s="436" t="n"/>
      <c r="F12" s="690" t="n"/>
      <c r="G12" s="243" t="n"/>
      <c r="H12" s="693" t="n"/>
      <c r="I12" s="690" t="n"/>
      <c r="J12" s="694" t="n"/>
    </row>
    <row r="13" ht="21" customHeight="1">
      <c r="A13" s="436" t="n"/>
      <c r="B13" s="248" t="n"/>
      <c r="C13" s="249" t="n"/>
      <c r="D13" s="250" t="n"/>
      <c r="E13" s="436" t="n"/>
      <c r="F13" s="690" t="n"/>
      <c r="G13" s="243" t="n"/>
      <c r="H13" s="693" t="n"/>
      <c r="I13" s="690" t="n"/>
      <c r="J13" s="694" t="n"/>
    </row>
    <row r="14" ht="21" customHeight="1">
      <c r="A14" s="436" t="n"/>
      <c r="B14" s="248" t="n"/>
      <c r="C14" s="249" t="n"/>
      <c r="D14" s="250" t="n"/>
      <c r="E14" s="436" t="n"/>
      <c r="F14" s="690" t="n"/>
      <c r="G14" s="243" t="n"/>
      <c r="H14" s="693" t="n"/>
      <c r="I14" s="690" t="n"/>
      <c r="J14" s="243" t="n"/>
    </row>
    <row r="15" ht="21" customHeight="1">
      <c r="A15" s="436" t="n"/>
      <c r="B15" s="248" t="n"/>
      <c r="C15" s="249" t="n"/>
      <c r="D15" s="250" t="n"/>
      <c r="E15" s="436" t="n"/>
      <c r="F15" s="690" t="n"/>
      <c r="G15" s="243" t="n"/>
      <c r="H15" s="693" t="n"/>
      <c r="I15" s="690" t="n"/>
      <c r="J15" s="695" t="n"/>
    </row>
    <row r="16" ht="21" customHeight="1">
      <c r="A16" s="436" t="n"/>
      <c r="B16" s="248" t="n"/>
      <c r="C16" s="249" t="n"/>
      <c r="D16" s="250" t="n"/>
      <c r="E16" s="436" t="n"/>
      <c r="F16" s="690" t="n"/>
      <c r="G16" s="243" t="n"/>
      <c r="H16" s="693" t="n"/>
      <c r="I16" s="690" t="n"/>
      <c r="J16" s="696" t="n"/>
    </row>
    <row r="17" ht="21" customHeight="1">
      <c r="A17" s="243" t="n"/>
      <c r="B17" s="439" t="n"/>
      <c r="C17" s="692" t="n"/>
      <c r="D17" s="690" t="n"/>
      <c r="E17" s="436" t="n"/>
      <c r="F17" s="690" t="n"/>
      <c r="G17" s="243" t="n"/>
      <c r="H17" s="693" t="n"/>
      <c r="I17" s="690" t="n"/>
      <c r="J17" s="243" t="n"/>
    </row>
    <row r="18" ht="21" customHeight="1" thickBot="1">
      <c r="A18" s="306" t="n"/>
      <c r="B18" s="440" t="n"/>
      <c r="C18" s="697" t="n"/>
      <c r="D18" s="698" t="n"/>
      <c r="E18" s="440" t="n"/>
      <c r="F18" s="698" t="n"/>
      <c r="G18" s="306" t="n"/>
      <c r="H18" s="699" t="n"/>
      <c r="I18" s="698" t="n"/>
      <c r="J18" s="306" t="n"/>
    </row>
    <row r="19" ht="21.75" customFormat="1" customHeight="1" s="260" thickTop="1">
      <c r="A19" s="307" t="n"/>
      <c r="B19" s="308" t="n"/>
      <c r="C19" s="308" t="n"/>
      <c r="D19" s="308" t="n"/>
      <c r="E19" s="431" t="inlineStr">
        <is>
          <t>รวมค่าครุภัณฑ์จัดซื้อหรือสั่งซื้อ</t>
        </is>
      </c>
      <c r="F19" s="700" t="n"/>
      <c r="G19" s="700" t="n"/>
      <c r="H19" s="701">
        <f>H10</f>
        <v/>
      </c>
      <c r="I19" s="702" t="n"/>
      <c r="J19" s="308" t="n"/>
    </row>
    <row r="20" ht="21.75" customFormat="1" customHeight="1" s="260" thickBot="1">
      <c r="A20" s="432" t="n"/>
      <c r="B20" s="703" t="n"/>
      <c r="C20" s="703" t="n"/>
      <c r="D20" s="264" t="n"/>
      <c r="E20" s="264" t="n"/>
      <c r="F20" s="704" t="n"/>
      <c r="G20" s="224" t="inlineStr">
        <is>
          <t>ยอดสุทธิ</t>
        </is>
      </c>
      <c r="H20" s="705">
        <f>H10</f>
        <v/>
      </c>
      <c r="I20" s="559" t="n"/>
      <c r="J20" s="264" t="inlineStr">
        <is>
          <t>**</t>
        </is>
      </c>
    </row>
    <row r="21" ht="24.75" customFormat="1" customHeight="1" s="260" thickTop="1">
      <c r="A21" s="226" t="n"/>
      <c r="B21" s="415" t="n"/>
      <c r="C21" s="415" t="n"/>
      <c r="D21" s="261" t="n"/>
      <c r="E21" s="261" t="n"/>
      <c r="F21" s="260" t="n"/>
      <c r="G21" s="260" t="n"/>
      <c r="H21" s="260" t="n"/>
      <c r="I21" s="260" t="n"/>
    </row>
    <row r="22" ht="22.5" customFormat="1" customHeight="1" s="285" thickBot="1">
      <c r="A22" s="428" t="inlineStr">
        <is>
          <t>คณะกรรมการกำหนดราคากลาง</t>
        </is>
      </c>
      <c r="C22" s="282" t="n"/>
      <c r="D22" s="282" t="n"/>
      <c r="E22" s="283" t="n"/>
      <c r="F22" s="285" t="n"/>
      <c r="G22" s="285" t="n"/>
      <c r="H22" s="285" t="n"/>
      <c r="I22" s="285" t="n"/>
      <c r="L22" s="310" t="n"/>
    </row>
    <row r="23" ht="22.5" customFormat="1" customHeight="1" s="285" thickTop="1">
      <c r="A23" s="282" t="n"/>
      <c r="B23" s="282" t="n"/>
      <c r="C23" s="282" t="n"/>
      <c r="D23" s="282" t="n"/>
      <c r="E23" s="283" t="inlineStr">
        <is>
          <t>(.......................................................)</t>
        </is>
      </c>
      <c r="F23" s="285" t="n"/>
      <c r="G23" s="285" t="n"/>
      <c r="H23" s="285" t="n"/>
      <c r="I23" s="285" t="n"/>
      <c r="L23" s="311" t="n"/>
    </row>
    <row r="24" ht="19.5" customFormat="1" customHeight="1" s="285">
      <c r="A24" s="429" t="n"/>
      <c r="D24" s="283" t="n"/>
      <c r="E24" s="283" t="n"/>
      <c r="F24" s="285" t="n"/>
      <c r="G24" s="285" t="n"/>
      <c r="H24" s="285" t="n"/>
      <c r="I24" s="285" t="n"/>
    </row>
    <row r="25" ht="19.5" customFormat="1" customHeight="1" s="285">
      <c r="A25" s="283" t="n"/>
      <c r="B25" s="283" t="n"/>
      <c r="C25" s="283" t="n"/>
      <c r="D25" s="282" t="n"/>
      <c r="E25" s="282" t="n"/>
      <c r="F25" s="285" t="n"/>
      <c r="G25" s="285" t="n"/>
      <c r="H25" s="285" t="n"/>
      <c r="I25" s="285" t="n"/>
    </row>
    <row r="26" ht="21.75" customFormat="1" customHeight="1" s="285">
      <c r="A26" s="282" t="n"/>
      <c r="B26" s="286" t="n"/>
      <c r="C26" s="282" t="n"/>
      <c r="E26" s="430" t="inlineStr">
        <is>
          <t>(.......................................................)</t>
        </is>
      </c>
      <c r="F26" s="285" t="n"/>
      <c r="G26" s="285" t="n"/>
      <c r="H26" s="285" t="n"/>
      <c r="I26" s="285" t="n"/>
    </row>
    <row r="27" ht="21.75" customFormat="1" customHeight="1" s="285">
      <c r="A27" s="282" t="n"/>
      <c r="B27" s="286" t="n"/>
      <c r="C27" s="282" t="n"/>
      <c r="E27" s="430" t="n"/>
      <c r="F27" s="285" t="n"/>
      <c r="G27" s="285" t="n"/>
      <c r="H27" s="285" t="n"/>
      <c r="I27" s="285" t="n"/>
    </row>
    <row r="28" ht="21.75" customFormat="1" customHeight="1" s="285">
      <c r="A28" s="282" t="n"/>
      <c r="B28" s="286" t="n"/>
      <c r="C28" s="282" t="n"/>
      <c r="E28" s="430" t="n"/>
      <c r="F28" s="285" t="n"/>
      <c r="G28" s="285" t="n"/>
      <c r="H28" s="285" t="n"/>
      <c r="I28" s="285" t="n"/>
    </row>
    <row r="29" ht="21.75" customFormat="1" customHeight="1" s="285">
      <c r="A29" s="429" t="n"/>
      <c r="B29" s="286" t="n"/>
      <c r="C29" s="286" t="n"/>
      <c r="D29" s="286" t="n"/>
      <c r="E29" s="289" t="inlineStr">
        <is>
          <t>(.......................................................)</t>
        </is>
      </c>
      <c r="F29" s="285" t="n"/>
      <c r="G29" s="285" t="n"/>
      <c r="H29" s="285" t="n"/>
      <c r="I29" s="285" t="n"/>
    </row>
    <row r="30" ht="21.75" customFormat="1" customHeight="1" s="285">
      <c r="A30" s="290" t="inlineStr">
        <is>
          <t>เห็นชอบ</t>
        </is>
      </c>
      <c r="B30" s="286" t="n"/>
      <c r="C30" s="282" t="n"/>
      <c r="E30" s="282" t="n"/>
      <c r="F30" s="285" t="n"/>
      <c r="G30" s="285" t="n"/>
      <c r="H30" s="285" t="n"/>
      <c r="I30" s="285" t="n"/>
    </row>
    <row r="31" ht="21.75" customFormat="1" customHeight="1" s="285">
      <c r="A31" s="282" t="n"/>
      <c r="B31" s="430" t="n"/>
      <c r="D31" s="286" t="n"/>
      <c r="E31" s="282" t="n"/>
      <c r="F31" s="285" t="n"/>
      <c r="G31" s="285" t="n"/>
      <c r="H31" s="285" t="n"/>
      <c r="I31" s="285" t="n"/>
    </row>
    <row r="32" ht="21.75" customFormat="1" customHeight="1" s="285">
      <c r="A32" s="282" t="n"/>
      <c r="B32" s="286" t="n"/>
      <c r="C32" s="286" t="n"/>
      <c r="D32" s="286" t="n"/>
      <c r="E32" s="283" t="inlineStr">
        <is>
          <t>(.....................)</t>
        </is>
      </c>
      <c r="F32" s="285" t="n"/>
      <c r="G32" s="285" t="n"/>
      <c r="H32" s="285" t="n"/>
      <c r="I32" s="285" t="n"/>
    </row>
    <row r="33" ht="21.75" customFormat="1" customHeight="1" s="285">
      <c r="A33" s="282" t="n"/>
      <c r="B33" s="286" t="n"/>
      <c r="C33" s="286" t="n"/>
      <c r="D33" s="286" t="n"/>
      <c r="E33" s="283" t="inlineStr">
        <is>
          <t xml:space="preserve"> </t>
        </is>
      </c>
      <c r="F33" s="285" t="n"/>
      <c r="G33" s="285" t="n"/>
      <c r="H33" s="285" t="n"/>
      <c r="I33" s="285" t="n"/>
    </row>
    <row r="36" ht="21" customHeight="1">
      <c r="J36" s="88" t="n"/>
    </row>
  </sheetData>
  <mergeCells count="38">
    <mergeCell ref="E12:F12"/>
    <mergeCell ref="H20:I20"/>
    <mergeCell ref="E19:G19"/>
    <mergeCell ref="G8:G9"/>
    <mergeCell ref="H10:I10"/>
    <mergeCell ref="B17:D17"/>
    <mergeCell ref="E14:F14"/>
    <mergeCell ref="H4:I4"/>
    <mergeCell ref="B31:C31"/>
    <mergeCell ref="E17:F17"/>
    <mergeCell ref="H9:I9"/>
    <mergeCell ref="E8:F8"/>
    <mergeCell ref="E10:F10"/>
    <mergeCell ref="E13:F13"/>
    <mergeCell ref="E9:F9"/>
    <mergeCell ref="A20:C20"/>
    <mergeCell ref="B8:D9"/>
    <mergeCell ref="H17:I17"/>
    <mergeCell ref="H11:I11"/>
    <mergeCell ref="E15:F15"/>
    <mergeCell ref="H16:I16"/>
    <mergeCell ref="E11:F11"/>
    <mergeCell ref="B10:C10"/>
    <mergeCell ref="H19:I19"/>
    <mergeCell ref="H13:I13"/>
    <mergeCell ref="A24:C24"/>
    <mergeCell ref="A22:B22"/>
    <mergeCell ref="H12:I12"/>
    <mergeCell ref="H8:I8"/>
    <mergeCell ref="E16:F16"/>
    <mergeCell ref="J8:J9"/>
    <mergeCell ref="A2:J2"/>
    <mergeCell ref="H18:I18"/>
    <mergeCell ref="H15:I15"/>
    <mergeCell ref="B18:D18"/>
    <mergeCell ref="H14:I14"/>
    <mergeCell ref="B12:D12"/>
    <mergeCell ref="E18:F18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8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tabSelected="1" view="pageBreakPreview" topLeftCell="A3" zoomScaleNormal="100" zoomScaleSheetLayoutView="100" workbookViewId="0">
      <selection activeCell="F10" sqref="F10"/>
    </sheetView>
  </sheetViews>
  <sheetFormatPr baseColWidth="8" defaultColWidth="19.7109375" defaultRowHeight="24"/>
  <cols>
    <col width="18.7109375" customWidth="1" style="316" min="1" max="1"/>
    <col width="19.7109375" customWidth="1" style="316" min="2" max="2"/>
    <col width="6" customWidth="1" style="316" min="3" max="3"/>
    <col width="5.28515625" customWidth="1" style="316" min="4" max="4"/>
    <col width="44.7109375" customWidth="1" style="316" min="5" max="5"/>
    <col width="23.42578125" bestFit="1" customWidth="1" style="316" min="6" max="6"/>
    <col width="19.7109375" customWidth="1" style="316" min="7" max="16384"/>
  </cols>
  <sheetData>
    <row r="1">
      <c r="F1" s="476" t="inlineStr">
        <is>
          <t xml:space="preserve">    แบบ  ปร.6       </t>
        </is>
      </c>
    </row>
    <row r="2">
      <c r="A2" s="477" t="inlineStr">
        <is>
          <t>แบบสรุปราคากลางงานก่อสร้างอาคาร</t>
        </is>
      </c>
    </row>
    <row r="3">
      <c r="A3" s="321" t="inlineStr">
        <is>
          <t xml:space="preserve">งานก่อสร้าง  </t>
        </is>
      </c>
      <c r="B3" s="472" t="n"/>
      <c r="C3" s="322" t="n"/>
      <c r="D3" s="425" t="n"/>
      <c r="E3" s="425" t="n"/>
      <c r="F3" s="472" t="n"/>
      <c r="G3" s="472" t="n"/>
    </row>
    <row r="4">
      <c r="A4" s="323" t="inlineStr">
        <is>
          <t xml:space="preserve">สถานที่ก่อสร้าง           </t>
        </is>
      </c>
      <c r="B4" s="324" t="n"/>
      <c r="C4" s="324" t="n"/>
      <c r="D4" s="324" t="n"/>
      <c r="E4" s="324" t="inlineStr">
        <is>
          <t xml:space="preserve">จังหวัด   </t>
        </is>
      </c>
      <c r="F4" s="472" t="n"/>
      <c r="G4" s="472" t="n"/>
    </row>
    <row r="5">
      <c r="A5" s="325" t="inlineStr">
        <is>
          <t>หน่วยงาน</t>
        </is>
      </c>
      <c r="B5" s="326" t="n"/>
      <c r="C5" s="326" t="n"/>
      <c r="D5" s="326" t="n"/>
      <c r="E5" s="326" t="n"/>
      <c r="F5" s="326" t="n"/>
      <c r="G5" s="472" t="n"/>
    </row>
    <row r="6">
      <c r="A6" s="424" t="inlineStr">
        <is>
          <t>แบบ ปร.4 (ก) (ข) ปร.5 (ก) (ข) ปร.6 และ Factor F ทั้งหมด</t>
        </is>
      </c>
      <c r="F6" s="316" t="inlineStr">
        <is>
          <t>จำนวน            แผ่น</t>
        </is>
      </c>
      <c r="G6" s="472" t="n"/>
    </row>
    <row r="7" hidden="1">
      <c r="A7" s="325" t="inlineStr">
        <is>
          <t xml:space="preserve">ประมาณการโดย  </t>
        </is>
      </c>
      <c r="B7" s="472" t="inlineStr">
        <is>
          <t xml:space="preserve"> </t>
        </is>
      </c>
      <c r="C7" s="472" t="n"/>
      <c r="D7" s="472" t="n"/>
    </row>
    <row r="8" ht="24.75" customHeight="1" thickBot="1">
      <c r="A8" s="327" t="inlineStr">
        <is>
          <t xml:space="preserve">ประมาณการราคาเมื่อวันที่   </t>
        </is>
      </c>
      <c r="B8" s="328" t="n"/>
      <c r="C8" s="329" t="n"/>
      <c r="D8" s="329" t="n"/>
      <c r="E8" s="330" t="n"/>
      <c r="F8" s="330" t="inlineStr">
        <is>
          <t xml:space="preserve">ปรับราคาเมื่อวันที่ </t>
        </is>
      </c>
      <c r="G8" s="331" t="n"/>
    </row>
    <row r="9" hidden="1">
      <c r="A9" s="332" t="n"/>
      <c r="B9" s="472" t="n"/>
      <c r="C9" s="472" t="n"/>
      <c r="D9" s="472" t="n"/>
      <c r="G9" s="476" t="inlineStr">
        <is>
          <t>หน่วย : บาท</t>
        </is>
      </c>
    </row>
    <row r="10" ht="33" customHeight="1" thickBot="1" thickTop="1">
      <c r="A10" s="334" t="inlineStr">
        <is>
          <t>ลำดับที่</t>
        </is>
      </c>
      <c r="B10" s="706" t="inlineStr">
        <is>
          <t>รายการ</t>
        </is>
      </c>
      <c r="C10" s="707" t="n"/>
      <c r="D10" s="707" t="n"/>
      <c r="E10" s="708" t="n"/>
      <c r="F10" s="334" t="inlineStr">
        <is>
          <t>ค่าวัสดุก่อสร้าง</t>
        </is>
      </c>
      <c r="G10" s="334" t="inlineStr">
        <is>
          <t>หมายเหตุ</t>
        </is>
      </c>
    </row>
    <row r="11" ht="24" customHeight="1" thickTop="1">
      <c r="A11" s="335" t="n"/>
      <c r="B11" s="336" t="inlineStr">
        <is>
          <t>สรุป</t>
        </is>
      </c>
      <c r="C11" s="337" t="n"/>
      <c r="D11" s="337" t="n"/>
      <c r="E11" s="338" t="n"/>
      <c r="F11" s="339" t="n"/>
      <c r="G11" s="335" t="n"/>
    </row>
    <row r="12" ht="24" customHeight="1">
      <c r="A12" s="340" t="n">
        <v>1</v>
      </c>
      <c r="B12" s="709" t="inlineStr">
        <is>
          <t>ส่วนที่ 1  ค่าก่อสร้าง</t>
        </is>
      </c>
      <c r="C12" s="710" t="n"/>
      <c r="D12" s="710" t="n"/>
      <c r="E12" s="647" t="n"/>
      <c r="F12" s="711">
        <f>'ปร.5.อาคาร'!F12</f>
        <v/>
      </c>
      <c r="G12" s="335" t="n"/>
    </row>
    <row r="13" ht="25.5" customHeight="1">
      <c r="A13" s="342" t="n">
        <v>2</v>
      </c>
      <c r="B13" s="484" t="inlineStr">
        <is>
          <t>ส่วนที่ 2 ค่าครุภัณฑ์จัดซื้อหรือสั่งซื้อ</t>
        </is>
      </c>
      <c r="C13" s="712" t="n"/>
      <c r="D13" s="712" t="n"/>
      <c r="E13" s="713" t="n"/>
      <c r="F13" s="714">
        <f>'ปร 5.ครุภัณฑ์'!H20</f>
        <v/>
      </c>
      <c r="G13" s="344" t="n"/>
    </row>
    <row r="14" ht="25.5" customHeight="1">
      <c r="A14" s="345" t="n">
        <v>3</v>
      </c>
      <c r="B14" s="715" t="inlineStr">
        <is>
          <t>ส่วนที่ 3 ค่าใช้จ่ายพิเศษตามข้อกำหนดและค่าใช้จ่ายอิ่นที่จำเป็นต้องมี</t>
        </is>
      </c>
      <c r="E14" s="716" t="n"/>
      <c r="F14" s="346" t="n"/>
      <c r="G14" s="347" t="n"/>
    </row>
    <row r="15" ht="25.5" customHeight="1">
      <c r="A15" s="348" t="n"/>
      <c r="B15" s="489" t="n"/>
      <c r="C15" s="489" t="n"/>
      <c r="D15" s="489" t="n"/>
      <c r="E15" s="490" t="n"/>
      <c r="F15" s="346" t="n"/>
      <c r="G15" s="351" t="n"/>
    </row>
    <row r="16" ht="25.5" customHeight="1">
      <c r="A16" s="348" t="n"/>
      <c r="B16" s="489" t="n"/>
      <c r="C16" s="489" t="n"/>
      <c r="D16" s="489" t="n"/>
      <c r="E16" s="490" t="n"/>
      <c r="F16" s="346" t="n"/>
      <c r="G16" s="351" t="n"/>
    </row>
    <row r="17" ht="25.5" customHeight="1">
      <c r="A17" s="348" t="n"/>
      <c r="B17" s="489" t="n"/>
      <c r="C17" s="489" t="n"/>
      <c r="D17" s="489" t="n"/>
      <c r="E17" s="490" t="n"/>
      <c r="F17" s="346" t="n"/>
      <c r="G17" s="351" t="n"/>
    </row>
    <row r="18" ht="25.5" customHeight="1">
      <c r="A18" s="348" t="n"/>
      <c r="B18" s="489" t="n"/>
      <c r="C18" s="489" t="n"/>
      <c r="D18" s="489" t="n"/>
      <c r="E18" s="490" t="n"/>
      <c r="F18" s="346" t="n"/>
      <c r="G18" s="351" t="n"/>
    </row>
    <row r="19" ht="25.5" customHeight="1">
      <c r="A19" s="348" t="n"/>
      <c r="B19" s="489" t="n"/>
      <c r="C19" s="489" t="n"/>
      <c r="D19" s="489" t="n"/>
      <c r="E19" s="490" t="n"/>
      <c r="F19" s="346" t="n"/>
      <c r="G19" s="351" t="n"/>
    </row>
    <row r="20" ht="25.5" customHeight="1">
      <c r="A20" s="348" t="n"/>
      <c r="B20" s="489" t="n"/>
      <c r="C20" s="489" t="n"/>
      <c r="D20" s="489" t="n"/>
      <c r="E20" s="490" t="n"/>
      <c r="F20" s="346" t="n"/>
      <c r="G20" s="351" t="n"/>
    </row>
    <row r="21" ht="25.5" customHeight="1">
      <c r="A21" s="348" t="n"/>
      <c r="B21" s="489" t="n"/>
      <c r="C21" s="489" t="n"/>
      <c r="D21" s="489" t="n"/>
      <c r="E21" s="490" t="n"/>
      <c r="F21" s="346" t="n"/>
      <c r="G21" s="351" t="n"/>
    </row>
    <row r="22" ht="24.75" customHeight="1" thickBot="1">
      <c r="A22" s="352" t="n"/>
      <c r="B22" s="353" t="n"/>
      <c r="C22" s="717" t="n"/>
      <c r="D22" s="355" t="n"/>
      <c r="E22" s="356" t="n"/>
      <c r="F22" s="718" t="n"/>
      <c r="G22" s="358" t="n"/>
    </row>
    <row r="23" hidden="1">
      <c r="A23" s="359" t="n"/>
      <c r="B23" s="719" t="inlineStr">
        <is>
          <t>รวมค่าก่อสร้างทั้งโครงการ</t>
        </is>
      </c>
      <c r="C23" s="588" t="n"/>
      <c r="D23" s="588" t="n"/>
      <c r="E23" s="566" t="n"/>
      <c r="F23" s="720">
        <f>SUM(F12:F13)</f>
        <v/>
      </c>
      <c r="G23" s="361" t="n"/>
    </row>
    <row r="24" hidden="1">
      <c r="A24" s="362" t="n"/>
      <c r="B24" s="721" t="inlineStr">
        <is>
          <t>ส่วนลด</t>
        </is>
      </c>
      <c r="C24" s="544" t="n"/>
      <c r="D24" s="544" t="n"/>
      <c r="E24" s="557" t="n"/>
      <c r="F24" s="722" t="n">
        <v>0</v>
      </c>
      <c r="G24" s="364" t="n"/>
    </row>
    <row r="25" ht="24.75" customHeight="1" thickTop="1">
      <c r="A25" s="723" t="inlineStr">
        <is>
          <t>สรุป</t>
        </is>
      </c>
      <c r="B25" s="469" t="inlineStr">
        <is>
          <t>รวมค่าก่อสร้างทั้งโครงการ</t>
        </is>
      </c>
      <c r="C25" s="724" t="n"/>
      <c r="D25" s="724" t="n"/>
      <c r="E25" s="725" t="n"/>
      <c r="F25" s="726" t="n"/>
      <c r="G25" s="366" t="n"/>
    </row>
    <row r="26" ht="24.75" customHeight="1" thickBot="1">
      <c r="A26" s="727" t="n"/>
      <c r="B26" s="473">
        <f>BAHTTEXT(F23)</f>
        <v/>
      </c>
      <c r="C26" s="707" t="n"/>
      <c r="D26" s="707" t="n"/>
      <c r="E26" s="707" t="n"/>
      <c r="F26" s="367" t="n"/>
      <c r="G26" s="368" t="n"/>
    </row>
    <row r="27" ht="24.75" customHeight="1" thickTop="1">
      <c r="A27" s="471" t="n"/>
    </row>
    <row r="28">
      <c r="A28" s="424" t="inlineStr">
        <is>
          <t>คณะกรรมการกำหนดราคากลาง</t>
        </is>
      </c>
      <c r="C28" s="472" t="n"/>
      <c r="D28" s="472" t="n"/>
      <c r="E28" s="313" t="n"/>
      <c r="F28" s="472" t="n"/>
      <c r="G28" s="472" t="n"/>
    </row>
    <row r="29">
      <c r="A29" s="472" t="n"/>
      <c r="B29" s="472" t="n"/>
      <c r="C29" s="472" t="n"/>
      <c r="D29" s="472" t="n"/>
      <c r="E29" s="313" t="inlineStr">
        <is>
          <t>(..............................................................................)</t>
        </is>
      </c>
      <c r="F29" s="472" t="n"/>
      <c r="G29" s="472" t="n"/>
    </row>
    <row r="30">
      <c r="A30" s="425" t="n"/>
      <c r="D30" s="313" t="n"/>
      <c r="E30" s="313" t="n"/>
      <c r="F30" s="472" t="n"/>
      <c r="G30" s="472" t="n"/>
    </row>
    <row r="31">
      <c r="A31" s="313" t="n"/>
      <c r="B31" s="313" t="n"/>
      <c r="C31" s="313" t="n"/>
      <c r="D31" s="472" t="n"/>
      <c r="E31" s="472" t="n"/>
      <c r="F31" s="472" t="n"/>
      <c r="G31" s="472" t="n"/>
    </row>
    <row r="32">
      <c r="A32" s="472" t="n"/>
      <c r="B32" s="315" t="n"/>
      <c r="C32" s="472" t="n"/>
      <c r="E32" s="420" t="inlineStr">
        <is>
          <t>(..............................................................................)</t>
        </is>
      </c>
      <c r="F32" s="472" t="n"/>
      <c r="G32" s="472" t="n"/>
    </row>
    <row r="33">
      <c r="A33" s="472" t="n"/>
      <c r="B33" s="420" t="n"/>
      <c r="D33" s="315" t="n"/>
      <c r="E33" s="472" t="n"/>
      <c r="F33" s="472" t="n"/>
      <c r="G33" s="472" t="n"/>
    </row>
    <row r="34">
      <c r="A34" s="425" t="n"/>
      <c r="B34" s="420" t="n"/>
      <c r="D34" s="315" t="n"/>
      <c r="E34" s="472" t="n"/>
      <c r="F34" s="472" t="n"/>
      <c r="G34" s="472" t="n"/>
    </row>
    <row r="35">
      <c r="A35" s="425" t="n"/>
      <c r="B35" s="315" t="n"/>
      <c r="C35" s="315" t="n"/>
      <c r="D35" s="315" t="n"/>
      <c r="E35" s="319" t="inlineStr">
        <is>
          <t>(...............................................................................)</t>
        </is>
      </c>
      <c r="F35" s="472" t="n"/>
      <c r="G35" s="472" t="n"/>
    </row>
    <row r="36">
      <c r="A36" s="320" t="n"/>
      <c r="B36" s="315" t="n"/>
      <c r="C36" s="472" t="n"/>
      <c r="E36" s="472" t="n"/>
      <c r="F36" s="472" t="n"/>
      <c r="G36" s="472" t="n"/>
    </row>
    <row r="37">
      <c r="A37" s="472" t="n"/>
      <c r="B37" s="420" t="n"/>
      <c r="D37" s="315" t="n"/>
      <c r="E37" s="472" t="n"/>
      <c r="F37" s="472" t="n"/>
      <c r="G37" s="472" t="n"/>
    </row>
    <row r="38">
      <c r="A38" s="472" t="n"/>
      <c r="B38" s="315" t="n"/>
      <c r="C38" s="315" t="n"/>
      <c r="D38" s="315" t="n"/>
      <c r="E38" s="313" t="n"/>
      <c r="F38" s="472" t="n"/>
      <c r="G38" s="472" t="n"/>
    </row>
    <row r="39">
      <c r="A39" s="472" t="n"/>
      <c r="B39" s="315" t="n"/>
      <c r="C39" s="315" t="n"/>
      <c r="D39" s="315" t="n"/>
      <c r="E39" s="313" t="n"/>
      <c r="F39" s="472" t="n"/>
      <c r="G39" s="472" t="n"/>
    </row>
    <row r="40">
      <c r="A40" s="472" t="n"/>
      <c r="B40" s="315" t="n"/>
      <c r="C40" s="472" t="n"/>
      <c r="D40" s="315" t="n"/>
      <c r="E40" s="472" t="n"/>
      <c r="F40" s="472" t="n"/>
      <c r="G40" s="472" t="n"/>
    </row>
    <row r="41">
      <c r="A41" s="472" t="n"/>
      <c r="B41" s="420" t="n"/>
      <c r="D41" s="315" t="n"/>
      <c r="E41" s="472" t="n"/>
      <c r="F41" s="472" t="n"/>
      <c r="G41" s="472" t="n"/>
    </row>
    <row r="42">
      <c r="A42" s="472" t="n"/>
      <c r="B42" s="470" t="n"/>
      <c r="E42" s="472" t="n"/>
      <c r="F42" s="472" t="n"/>
      <c r="G42" s="472" t="n"/>
    </row>
  </sheetData>
  <mergeCells count="20">
    <mergeCell ref="B42:D42"/>
    <mergeCell ref="B24:E24"/>
    <mergeCell ref="A6:E6"/>
    <mergeCell ref="B26:E26"/>
    <mergeCell ref="A25:A26"/>
    <mergeCell ref="B25:E25"/>
    <mergeCell ref="B12:E12"/>
    <mergeCell ref="B34:C34"/>
    <mergeCell ref="B37:C37"/>
    <mergeCell ref="A30:C30"/>
    <mergeCell ref="B14:E14"/>
    <mergeCell ref="B23:E23"/>
    <mergeCell ref="B33:C33"/>
    <mergeCell ref="A27:G27"/>
    <mergeCell ref="B13:E13"/>
    <mergeCell ref="A28:B28"/>
    <mergeCell ref="A2:G2"/>
    <mergeCell ref="B41:C41"/>
    <mergeCell ref="B10:E10"/>
    <mergeCell ref="F1:G1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63"/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Think10</dc:creator>
  <dcterms:created xmlns:dcterms="http://purl.org/dc/terms/" xmlns:xsi="http://www.w3.org/2001/XMLSchema-instance" xsi:type="dcterms:W3CDTF">2023-11-25T07:48:55Z</dcterms:created>
  <dcterms:modified xmlns:dcterms="http://purl.org/dc/terms/" xmlns:xsi="http://www.w3.org/2001/XMLSchema-instance" xsi:type="dcterms:W3CDTF">2026-06-12T14:49:08Z</dcterms:modified>
  <cp:lastModifiedBy>User</cp:lastModifiedBy>
  <cp:lastPrinted>2026-06-05T02:42:41Z</cp:lastPrinted>
</cp:coreProperties>
</file>